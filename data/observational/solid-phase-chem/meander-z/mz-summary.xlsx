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dewey/Library/CloudStorage/GoogleDrive-christian.w.dewey@gmail.com/My Drive/manuscripts/2023_Dewey-Fendorf-etal_meanders/data/solid-phase-chem/meander-z/"/>
    </mc:Choice>
  </mc:AlternateContent>
  <xr:revisionPtr revIDLastSave="0" documentId="13_ncr:1_{96F93382-F13F-C14A-843A-2617D8051881}" xr6:coauthVersionLast="47" xr6:coauthVersionMax="47" xr10:uidLastSave="{00000000-0000-0000-0000-000000000000}"/>
  <bookViews>
    <workbookView xWindow="1320" yWindow="2460" windowWidth="27240" windowHeight="16260" xr2:uid="{206EC093-69F5-6046-BA08-2269866CE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<sst xmlns="http://schemas.openxmlformats.org/spreadsheetml/2006/main" count="98" uniqueCount="52">
  <si>
    <t>Particle Size Analysis</t>
  </si>
  <si>
    <t>Shimadzu TICTOC</t>
  </si>
  <si>
    <t>Anoxic HCl Extractions - Extracted Concentrations on solid</t>
  </si>
  <si>
    <t>cm bgs</t>
  </si>
  <si>
    <t>g water/g dry soil</t>
  </si>
  <si>
    <t>w/w</t>
  </si>
  <si>
    <t>%</t>
  </si>
  <si>
    <t>mmol/g</t>
  </si>
  <si>
    <t>mol/g</t>
  </si>
  <si>
    <t>Location ID</t>
  </si>
  <si>
    <t>depth</t>
  </si>
  <si>
    <t>moisture content</t>
  </si>
  <si>
    <t>fraction &lt;2mm</t>
  </si>
  <si>
    <t>sand</t>
  </si>
  <si>
    <t>silt</t>
  </si>
  <si>
    <t>clay</t>
  </si>
  <si>
    <t>TC</t>
  </si>
  <si>
    <t>IC</t>
  </si>
  <si>
    <t>TOC</t>
  </si>
  <si>
    <t>avg Fe(II)</t>
  </si>
  <si>
    <t>OC ext</t>
  </si>
  <si>
    <t>Ca</t>
  </si>
  <si>
    <t>Fe</t>
  </si>
  <si>
    <t>P</t>
  </si>
  <si>
    <t>NH4 on solid</t>
  </si>
  <si>
    <t>0-20</t>
  </si>
  <si>
    <t>BDL</t>
  </si>
  <si>
    <t>20-29</t>
  </si>
  <si>
    <t>45-60</t>
  </si>
  <si>
    <t>80-94</t>
  </si>
  <si>
    <t>0-18</t>
  </si>
  <si>
    <t>18-30</t>
  </si>
  <si>
    <t>30-50</t>
  </si>
  <si>
    <t>50-70</t>
  </si>
  <si>
    <t>70-75</t>
  </si>
  <si>
    <t>75-87</t>
  </si>
  <si>
    <t>~90</t>
  </si>
  <si>
    <t>NM</t>
  </si>
  <si>
    <t>0-15</t>
  </si>
  <si>
    <t>18-33</t>
  </si>
  <si>
    <t>33-40</t>
  </si>
  <si>
    <t>50-60</t>
  </si>
  <si>
    <t>18-40</t>
  </si>
  <si>
    <t>30-55</t>
  </si>
  <si>
    <t>57-70</t>
  </si>
  <si>
    <t>CBD Exgtractions</t>
  </si>
  <si>
    <t>Oxalate Extractions</t>
  </si>
  <si>
    <t>MZA1</t>
  </si>
  <si>
    <t>MZA5</t>
  </si>
  <si>
    <t>MZB1</t>
  </si>
  <si>
    <t>MZB3</t>
  </si>
  <si>
    <t>MZB5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</si>
</sst>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6" xfId="0" applyFont="1" applyBorder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E543-C4DE-4249-BEBE-A6ABC77F32A0}">
  <dimension ref="A1:U24"/>
  <sheetViews>
    <sheetView tabSelected="1" topLeftCell="K1" workbookViewId="0">
      <selection activeCell="U15" sqref="U15:U24"/>
    </sheetView>
  </sheetViews>
  <sheetFormatPr baseColWidth="10" defaultRowHeight="16" x14ac:dyDescent="0.2"/>
  <cols>
    <col min="5" max="10" width="10.83203125" customWidth="1"/>
  </cols>
  <sheetData>
    <row r="1" spans="1:21" s="1" customFormat="1" ht="15" x14ac:dyDescent="0.2">
      <c r="E1" s="16" t="s">
        <v>0</v>
      </c>
      <c r="F1" s="17"/>
      <c r="G1" s="18"/>
      <c r="H1" s="16" t="s">
        <v>1</v>
      </c>
      <c r="I1" s="17"/>
      <c r="J1" s="17"/>
      <c r="K1" s="16" t="s">
        <v>2</v>
      </c>
      <c r="L1" s="17"/>
      <c r="M1" s="17"/>
      <c r="N1" s="17"/>
      <c r="O1" s="17"/>
      <c r="P1" s="17" t="s">
        <v>45</v>
      </c>
      <c r="Q1" s="17"/>
      <c r="R1" s="19" t="s">
        <v>46</v>
      </c>
      <c r="S1" s="19"/>
      <c r="T1" s="19"/>
      <c r="U1" s="19"/>
    </row>
    <row r="2" spans="1:21" s="2" customFormat="1" ht="15" x14ac:dyDescent="0.2">
      <c r="B2" s="2" t="s">
        <v>3</v>
      </c>
      <c r="C2" s="2" t="s">
        <v>4</v>
      </c>
      <c r="D2" s="2" t="s">
        <v>5</v>
      </c>
      <c r="E2" s="3" t="s">
        <v>6</v>
      </c>
      <c r="F2" s="2" t="s">
        <v>6</v>
      </c>
      <c r="G2" s="4" t="s">
        <v>6</v>
      </c>
      <c r="H2" s="3" t="s">
        <v>6</v>
      </c>
      <c r="I2" s="2" t="s">
        <v>6</v>
      </c>
      <c r="J2" s="2" t="s">
        <v>6</v>
      </c>
      <c r="K2" s="3" t="s">
        <v>7</v>
      </c>
      <c r="L2" s="2" t="s">
        <v>7</v>
      </c>
      <c r="M2" s="2" t="s">
        <v>6</v>
      </c>
      <c r="N2" s="2" t="s">
        <v>7</v>
      </c>
      <c r="O2" s="2" t="s">
        <v>7</v>
      </c>
      <c r="P2" s="2" t="s">
        <v>8</v>
      </c>
      <c r="Q2" s="2" t="s">
        <v>8</v>
      </c>
      <c r="R2" s="3" t="s">
        <v>7</v>
      </c>
      <c r="S2" s="2" t="s">
        <v>8</v>
      </c>
      <c r="T2" s="2" t="s">
        <v>8</v>
      </c>
      <c r="U2" s="2" t="s">
        <v>8</v>
      </c>
    </row>
    <row r="3" spans="1:21" s="5" customFormat="1" ht="32" x14ac:dyDescent="0.2">
      <c r="A3" s="5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6" t="s">
        <v>14</v>
      </c>
      <c r="G3" s="8" t="s">
        <v>15</v>
      </c>
      <c r="H3" s="9" t="s">
        <v>16</v>
      </c>
      <c r="I3" s="5" t="s">
        <v>17</v>
      </c>
      <c r="J3" s="5" t="s">
        <v>18</v>
      </c>
      <c r="K3" s="7" t="s">
        <v>19</v>
      </c>
      <c r="L3" s="6" t="s">
        <v>20</v>
      </c>
      <c r="M3" s="6" t="s">
        <v>20</v>
      </c>
      <c r="N3" s="5" t="s">
        <v>21</v>
      </c>
      <c r="O3" s="5" t="s">
        <v>22</v>
      </c>
      <c r="P3" s="5" t="s">
        <v>21</v>
      </c>
      <c r="Q3" s="5" t="s">
        <v>22</v>
      </c>
      <c r="R3" s="7" t="s">
        <v>24</v>
      </c>
      <c r="S3" s="10" t="s">
        <v>21</v>
      </c>
      <c r="T3" s="10" t="s">
        <v>22</v>
      </c>
      <c r="U3" s="10" t="s">
        <v>23</v>
      </c>
    </row>
    <row r="4" spans="1:21" x14ac:dyDescent="0.2">
      <c r="A4" t="s">
        <v>47</v>
      </c>
      <c r="B4" t="s">
        <v>25</v>
      </c>
      <c r="C4" s="11">
        <v>0.24006554690700529</v>
      </c>
      <c r="D4" s="11">
        <v>0.91755348326933628</v>
      </c>
      <c r="E4" s="12">
        <v>40.995309769816799</v>
      </c>
      <c r="F4" s="12">
        <v>46.367666254438319</v>
      </c>
      <c r="G4" s="12">
        <v>12.637023975744889</v>
      </c>
      <c r="H4" s="13">
        <v>3.9595000000000002</v>
      </c>
      <c r="I4" s="13">
        <v>0.36104999999999998</v>
      </c>
      <c r="J4" s="13">
        <v>3.5984500000000001</v>
      </c>
      <c r="K4" s="14">
        <v>3.6127014075690439E-2</v>
      </c>
      <c r="L4" s="11">
        <v>0.1200499400418715</v>
      </c>
      <c r="M4" s="11">
        <f t="shared" ref="M4:M24" si="0">L4*12.01/10</f>
        <v>0.14417997799028767</v>
      </c>
      <c r="N4" s="15">
        <v>0.37003129697567694</v>
      </c>
      <c r="O4" s="15">
        <v>7.3833039963128122E-2</v>
      </c>
      <c r="P4" s="15">
        <v>2.1285787088879849E-4</v>
      </c>
      <c r="Q4" s="15">
        <v>2.2640852470741016E-4</v>
      </c>
      <c r="R4" s="15">
        <v>5.6255581774874571E-3</v>
      </c>
      <c r="S4" s="15" t="s">
        <v>26</v>
      </c>
      <c r="T4" s="15">
        <v>6.7022409935964266E-5</v>
      </c>
      <c r="U4" s="15">
        <v>6.3565597335837935E-6</v>
      </c>
    </row>
    <row r="5" spans="1:21" x14ac:dyDescent="0.2">
      <c r="B5" t="s">
        <v>27</v>
      </c>
      <c r="C5" s="11">
        <v>0.14360902255639099</v>
      </c>
      <c r="D5" s="11">
        <v>0.90833227432541197</v>
      </c>
      <c r="E5" s="12">
        <v>68.209656728316219</v>
      </c>
      <c r="F5" s="12">
        <v>24.679764987245008</v>
      </c>
      <c r="G5" s="12">
        <v>7.1105782844387715</v>
      </c>
      <c r="H5" s="13">
        <v>1.9325000000000001</v>
      </c>
      <c r="I5" s="13">
        <v>8.3345000000000002E-2</v>
      </c>
      <c r="J5" s="13">
        <v>1.8491550000000001</v>
      </c>
      <c r="K5" s="14">
        <v>1.3262032996605968E-2</v>
      </c>
      <c r="L5" s="11">
        <v>8.085926029944901E-2</v>
      </c>
      <c r="M5" s="11">
        <f t="shared" si="0"/>
        <v>9.7111971619638263E-2</v>
      </c>
      <c r="N5" s="15">
        <v>0.18791536579749823</v>
      </c>
      <c r="O5" s="15">
        <v>6.1636887188684195E-2</v>
      </c>
      <c r="P5" s="15">
        <v>9.7053759157132808E-5</v>
      </c>
      <c r="Q5" s="15">
        <v>1.9037576348887369E-4</v>
      </c>
      <c r="R5" s="15">
        <v>2.1422365847246151E-3</v>
      </c>
      <c r="S5" s="15" t="s">
        <v>26</v>
      </c>
      <c r="T5" s="15">
        <v>4.3290926097957023E-5</v>
      </c>
      <c r="U5" s="15">
        <v>1.6711266804244933E-6</v>
      </c>
    </row>
    <row r="6" spans="1:21" x14ac:dyDescent="0.2">
      <c r="B6" t="s">
        <v>28</v>
      </c>
      <c r="C6" s="11">
        <v>0.11664190193164921</v>
      </c>
      <c r="D6" s="11">
        <v>0.38056527970302845</v>
      </c>
      <c r="E6" s="12">
        <v>87.758537136921035</v>
      </c>
      <c r="F6" s="12">
        <v>8.9813343721285435</v>
      </c>
      <c r="G6" s="12">
        <v>3.2601284909504216</v>
      </c>
      <c r="H6" s="13">
        <v>0.70120000000000005</v>
      </c>
      <c r="I6" s="13">
        <v>4.4655E-2</v>
      </c>
      <c r="J6" s="13">
        <v>0.65654500000000005</v>
      </c>
      <c r="K6" s="14">
        <v>7.5431937542496334E-3</v>
      </c>
      <c r="L6" s="11">
        <v>3.9168569564226596E-2</v>
      </c>
      <c r="M6" s="11">
        <f t="shared" si="0"/>
        <v>4.7041452046636137E-2</v>
      </c>
      <c r="N6" s="15">
        <v>0.10180813776594794</v>
      </c>
      <c r="O6" s="15">
        <v>5.4493169778627767E-2</v>
      </c>
      <c r="P6" s="15">
        <v>5.9677173335766033E-5</v>
      </c>
      <c r="Q6" s="15">
        <v>1.8222234041525995E-4</v>
      </c>
      <c r="R6" s="15">
        <v>7.555402570910086E-4</v>
      </c>
      <c r="S6" s="15" t="s">
        <v>26</v>
      </c>
      <c r="T6" s="15">
        <v>3.3802176550061963E-5</v>
      </c>
      <c r="U6" s="15">
        <v>3.5630602048292282E-7</v>
      </c>
    </row>
    <row r="7" spans="1:21" x14ac:dyDescent="0.2">
      <c r="B7" t="s">
        <v>29</v>
      </c>
      <c r="C7" s="11">
        <v>0.16190476190476191</v>
      </c>
      <c r="D7" s="11">
        <v>0.23305588585017836</v>
      </c>
      <c r="E7" s="12">
        <v>87.598665494645942</v>
      </c>
      <c r="F7" s="12">
        <v>8.789605641681419</v>
      </c>
      <c r="G7" s="12">
        <v>3.6117288636726435</v>
      </c>
      <c r="H7" s="13">
        <v>0.51780000000000004</v>
      </c>
      <c r="I7" s="13">
        <v>7.7385000000000009E-2</v>
      </c>
      <c r="J7" s="13">
        <v>0.440415</v>
      </c>
      <c r="K7" s="14">
        <v>7.4490921254624382E-3</v>
      </c>
      <c r="L7" s="11">
        <v>2.6339126210101007E-2</v>
      </c>
      <c r="M7" s="11">
        <f t="shared" si="0"/>
        <v>3.1633290578331308E-2</v>
      </c>
      <c r="N7" s="15">
        <v>0.11755890557701357</v>
      </c>
      <c r="O7" s="15">
        <v>4.533019675272696E-2</v>
      </c>
      <c r="P7" s="15">
        <v>7.3904319605733795E-5</v>
      </c>
      <c r="Q7" s="15">
        <v>1.5017832465397081E-4</v>
      </c>
      <c r="R7" s="15">
        <v>5.1048801626995307E-4</v>
      </c>
      <c r="S7" s="15" t="s">
        <v>26</v>
      </c>
      <c r="T7" s="15">
        <v>2.9998369158899311E-5</v>
      </c>
      <c r="U7" s="15">
        <v>1.8913803083499122E-7</v>
      </c>
    </row>
    <row r="8" spans="1:21" x14ac:dyDescent="0.2">
      <c r="A8" t="s">
        <v>48</v>
      </c>
      <c r="B8" t="s">
        <v>30</v>
      </c>
      <c r="C8" s="11">
        <v>0.34033245844269472</v>
      </c>
      <c r="D8" s="11">
        <v>0.85588169767182798</v>
      </c>
      <c r="E8" s="12">
        <v>38.341272687338858</v>
      </c>
      <c r="F8" s="12">
        <v>41.947103088872609</v>
      </c>
      <c r="G8" s="12">
        <v>19.711624223788537</v>
      </c>
      <c r="H8" s="13">
        <v>4.5679999999999996</v>
      </c>
      <c r="I8" s="13">
        <v>0.68605000000000005</v>
      </c>
      <c r="J8" s="13">
        <v>3.8819499999999998</v>
      </c>
      <c r="K8" s="14">
        <v>4.4264328238034667E-2</v>
      </c>
      <c r="L8" s="11">
        <v>0.12600085910089037</v>
      </c>
      <c r="M8" s="11">
        <f t="shared" si="0"/>
        <v>0.15132703178016932</v>
      </c>
      <c r="N8" s="15">
        <v>0.64892458012187859</v>
      </c>
      <c r="O8" s="15">
        <v>6.3974587077606296E-2</v>
      </c>
      <c r="P8" s="15">
        <v>4.1300482296240853E-4</v>
      </c>
      <c r="Q8" s="15">
        <v>2.2915144004864241E-4</v>
      </c>
      <c r="R8" s="15">
        <v>5.6048364125260951E-3</v>
      </c>
      <c r="S8" s="15" t="s">
        <v>26</v>
      </c>
      <c r="T8" s="15">
        <v>6.6890622391462145E-5</v>
      </c>
      <c r="U8" s="15">
        <v>5.0446257204590996E-6</v>
      </c>
    </row>
    <row r="9" spans="1:21" x14ac:dyDescent="0.2">
      <c r="B9" t="s">
        <v>31</v>
      </c>
      <c r="C9" s="11">
        <v>0.333926189417519</v>
      </c>
      <c r="D9" s="11">
        <v>0.98737032025259353</v>
      </c>
      <c r="E9" s="12">
        <v>35.693184808911298</v>
      </c>
      <c r="F9" s="12">
        <v>43.990980541167744</v>
      </c>
      <c r="G9" s="12">
        <v>20.315834649920966</v>
      </c>
      <c r="H9" s="13">
        <v>3.8420000000000001</v>
      </c>
      <c r="I9" s="13">
        <v>0.93035000000000001</v>
      </c>
      <c r="J9" s="13">
        <v>2.9116499999999998</v>
      </c>
      <c r="K9" s="14">
        <v>3.9158884329995064E-2</v>
      </c>
      <c r="L9" s="11">
        <v>7.6401035485836238E-2</v>
      </c>
      <c r="M9" s="11">
        <f t="shared" si="0"/>
        <v>9.1757643618489315E-2</v>
      </c>
      <c r="N9" s="15">
        <v>0.81403992802652247</v>
      </c>
      <c r="O9" s="15">
        <v>6.2139647400756441E-2</v>
      </c>
      <c r="P9" s="15">
        <v>4.7279145352309578E-4</v>
      </c>
      <c r="Q9" s="15">
        <v>2.3469689804232497E-4</v>
      </c>
      <c r="R9" s="15">
        <v>4.4462411122679121E-3</v>
      </c>
      <c r="S9" s="15" t="s">
        <v>26</v>
      </c>
      <c r="T9" s="15">
        <v>7.658751162721331E-5</v>
      </c>
      <c r="U9" s="15">
        <v>4.2071980199570547E-6</v>
      </c>
    </row>
    <row r="10" spans="1:21" x14ac:dyDescent="0.2">
      <c r="B10" t="s">
        <v>32</v>
      </c>
      <c r="C10" s="11">
        <v>0.40000000000000008</v>
      </c>
      <c r="D10" s="11">
        <v>0.98870888561610204</v>
      </c>
      <c r="E10" s="12">
        <v>48.292547284504131</v>
      </c>
      <c r="F10" s="12">
        <v>38.031437169905452</v>
      </c>
      <c r="G10" s="12">
        <v>13.676015545590413</v>
      </c>
      <c r="H10" s="13">
        <v>2.3120000000000003</v>
      </c>
      <c r="I10" s="13">
        <v>0.5877</v>
      </c>
      <c r="J10" s="13">
        <v>1.7243000000000004</v>
      </c>
      <c r="K10" s="14">
        <v>4.5502887566955433E-2</v>
      </c>
      <c r="L10" s="11">
        <v>6.5701756462908684E-2</v>
      </c>
      <c r="M10" s="11">
        <f t="shared" si="0"/>
        <v>7.8907809511953336E-2</v>
      </c>
      <c r="N10" s="15">
        <v>0.44740617942090788</v>
      </c>
      <c r="O10" s="15">
        <v>6.2311802242319039E-2</v>
      </c>
      <c r="P10" s="15">
        <v>3.7787524556913389E-4</v>
      </c>
      <c r="Q10" s="15">
        <v>2.5413120272942721E-4</v>
      </c>
      <c r="R10" s="15">
        <v>9.3762210021724047E-4</v>
      </c>
      <c r="S10" s="15" t="s">
        <v>26</v>
      </c>
      <c r="T10" s="15">
        <v>5.1243850351568196E-5</v>
      </c>
      <c r="U10" s="15">
        <v>2.1961631753172403E-6</v>
      </c>
    </row>
    <row r="11" spans="1:21" x14ac:dyDescent="0.2">
      <c r="B11" t="s">
        <v>33</v>
      </c>
      <c r="C11" s="11">
        <v>0.51973684210526305</v>
      </c>
      <c r="D11" s="11">
        <v>0.98338181503988942</v>
      </c>
      <c r="E11" s="12">
        <v>61.57597448051029</v>
      </c>
      <c r="F11" s="12">
        <v>29.209937801244088</v>
      </c>
      <c r="G11" s="12">
        <v>9.2140877182456151</v>
      </c>
      <c r="H11" s="13">
        <v>2.4610000000000003</v>
      </c>
      <c r="I11" s="13">
        <v>8.6959999999999996E-2</v>
      </c>
      <c r="J11" s="13">
        <v>2.3740400000000004</v>
      </c>
      <c r="K11" s="14">
        <v>5.7984221145882309E-2</v>
      </c>
      <c r="L11" s="11">
        <v>5.5393774870026002E-2</v>
      </c>
      <c r="M11" s="11">
        <f t="shared" si="0"/>
        <v>6.6527923618901225E-2</v>
      </c>
      <c r="N11" s="15">
        <v>0.18508763121273608</v>
      </c>
      <c r="O11" s="15">
        <v>5.9771675151589827E-2</v>
      </c>
      <c r="P11" s="15">
        <v>1.1154390698151395E-4</v>
      </c>
      <c r="Q11" s="15">
        <v>1.6749749082882269E-4</v>
      </c>
      <c r="R11" s="15">
        <v>7.9359773630487617E-4</v>
      </c>
      <c r="S11" s="15" t="s">
        <v>26</v>
      </c>
      <c r="T11" s="15">
        <v>2.7953562894409583E-5</v>
      </c>
      <c r="U11" s="15">
        <v>1.1848135345744809E-6</v>
      </c>
    </row>
    <row r="12" spans="1:21" x14ac:dyDescent="0.2">
      <c r="B12" t="s">
        <v>34</v>
      </c>
      <c r="C12" s="11">
        <v>0.21063229963753527</v>
      </c>
      <c r="D12" s="11">
        <v>0.81298119848345651</v>
      </c>
      <c r="E12" s="12">
        <v>90.444758989931131</v>
      </c>
      <c r="F12" s="12">
        <v>7.0625694422249836</v>
      </c>
      <c r="G12" s="12">
        <v>2.4926715678438818</v>
      </c>
      <c r="H12" s="13">
        <v>0.35535</v>
      </c>
      <c r="I12" s="13">
        <v>0.20935000000000001</v>
      </c>
      <c r="J12" s="13">
        <v>0.14599999999999999</v>
      </c>
      <c r="K12" s="14">
        <v>1.8385724745974358E-2</v>
      </c>
      <c r="L12" s="11">
        <v>1.6713482777323381E-2</v>
      </c>
      <c r="M12" s="11">
        <f t="shared" si="0"/>
        <v>2.0072892815565381E-2</v>
      </c>
      <c r="N12" s="15">
        <v>0.16931372408403395</v>
      </c>
      <c r="O12" s="15">
        <v>5.9123317899728134E-2</v>
      </c>
      <c r="P12" s="15">
        <v>7.6603792689289329E-5</v>
      </c>
      <c r="Q12" s="15">
        <v>1.799792448689478E-4</v>
      </c>
      <c r="R12" s="15">
        <v>2.1583191696992131E-4</v>
      </c>
      <c r="S12" s="15" t="s">
        <v>26</v>
      </c>
      <c r="T12" s="15">
        <v>3.1593755143604549E-5</v>
      </c>
      <c r="U12" s="15" t="s">
        <v>26</v>
      </c>
    </row>
    <row r="13" spans="1:21" x14ac:dyDescent="0.2">
      <c r="B13" t="s">
        <v>35</v>
      </c>
      <c r="C13" s="11">
        <v>0.406046511627907</v>
      </c>
      <c r="D13" s="11">
        <v>0.45549844447450288</v>
      </c>
      <c r="E13" s="12">
        <v>73.852374288169017</v>
      </c>
      <c r="F13" s="12">
        <v>20.202077567086988</v>
      </c>
      <c r="G13" s="12">
        <v>5.9455481447439951</v>
      </c>
      <c r="H13" s="13">
        <v>1.7475000000000001</v>
      </c>
      <c r="I13" s="13">
        <v>0.15210000000000001</v>
      </c>
      <c r="J13" s="13">
        <v>1.5954000000000002</v>
      </c>
      <c r="K13" s="14">
        <v>5.7587259016218889E-2</v>
      </c>
      <c r="L13" s="11">
        <v>3.8398511671511579E-2</v>
      </c>
      <c r="M13" s="11">
        <f t="shared" si="0"/>
        <v>4.6116612517485403E-2</v>
      </c>
      <c r="N13" s="15">
        <v>0.19898575310503386</v>
      </c>
      <c r="O13" s="15">
        <v>6.0841348284443528E-2</v>
      </c>
      <c r="P13" s="15">
        <v>1.3079946118000669E-4</v>
      </c>
      <c r="Q13" s="15">
        <v>1.5959310022400594E-4</v>
      </c>
      <c r="R13" s="15">
        <v>4.8588800844604667E-4</v>
      </c>
      <c r="S13" s="15" t="s">
        <v>26</v>
      </c>
      <c r="T13" s="15">
        <v>3.7863636452739042E-5</v>
      </c>
      <c r="U13" s="15" t="s">
        <v>26</v>
      </c>
    </row>
    <row r="14" spans="1:21" x14ac:dyDescent="0.2">
      <c r="B14" t="s">
        <v>36</v>
      </c>
      <c r="C14" s="11">
        <v>0.44320297951582865</v>
      </c>
      <c r="D14" s="11">
        <v>0.16219404305514598</v>
      </c>
      <c r="E14" s="12">
        <v>85.969988138740703</v>
      </c>
      <c r="F14" s="12">
        <v>10.770191337686612</v>
      </c>
      <c r="G14" s="12">
        <v>3.2598205235726789</v>
      </c>
      <c r="H14" s="13">
        <v>0.60525000000000007</v>
      </c>
      <c r="I14" s="13">
        <v>0.100995</v>
      </c>
      <c r="J14" s="13">
        <v>0.50425500000000012</v>
      </c>
      <c r="K14" s="14">
        <v>3.6572481219103545E-2</v>
      </c>
      <c r="L14" s="11">
        <v>2.6157868929404561E-2</v>
      </c>
      <c r="M14" s="11">
        <f t="shared" si="0"/>
        <v>3.1415600584214873E-2</v>
      </c>
      <c r="N14" s="15">
        <v>0.17417078146917989</v>
      </c>
      <c r="O14" s="15">
        <v>6.6804495946141726E-2</v>
      </c>
      <c r="P14" s="15">
        <v>6.6016737540503429E-5</v>
      </c>
      <c r="Q14" s="15">
        <v>1.53659990986039E-4</v>
      </c>
      <c r="R14" s="15" t="s">
        <v>37</v>
      </c>
      <c r="S14" s="15" t="s">
        <v>26</v>
      </c>
      <c r="T14" s="15">
        <v>3.0110416434198978E-5</v>
      </c>
      <c r="U14" s="15" t="s">
        <v>26</v>
      </c>
    </row>
    <row r="15" spans="1:21" x14ac:dyDescent="0.2">
      <c r="A15" t="s">
        <v>49</v>
      </c>
      <c r="B15" t="s">
        <v>38</v>
      </c>
      <c r="C15" s="11">
        <v>0.3542857142857142</v>
      </c>
      <c r="D15" s="11">
        <v>0.93281450103438091</v>
      </c>
      <c r="E15" s="11"/>
      <c r="F15" s="11"/>
      <c r="G15" s="11"/>
      <c r="H15" s="13">
        <v>3.6879999999999997</v>
      </c>
      <c r="I15" s="13">
        <v>0.95155000000000001</v>
      </c>
      <c r="J15" s="13">
        <v>2.7364499999999996</v>
      </c>
      <c r="K15" s="14">
        <v>7.2364616438320095E-2</v>
      </c>
      <c r="L15" s="11">
        <v>0.10975095584154484</v>
      </c>
      <c r="M15" s="11">
        <f t="shared" si="0"/>
        <v>0.13181089796569537</v>
      </c>
      <c r="N15" s="15">
        <v>0.76581495546275868</v>
      </c>
      <c r="O15" s="15">
        <v>8.1322424511273514E-2</v>
      </c>
      <c r="P15" s="15">
        <v>4.1981929098526191E-4</v>
      </c>
      <c r="Q15" s="15">
        <v>2.1493605543259798E-4</v>
      </c>
      <c r="R15" s="15">
        <v>3.3638768500054376E-3</v>
      </c>
      <c r="S15" s="15" t="s">
        <v>26</v>
      </c>
      <c r="T15" s="15">
        <v>7.322008609450233E-5</v>
      </c>
      <c r="U15" s="15">
        <v>4.0348449690294698E-6</v>
      </c>
    </row>
    <row r="16" spans="1:21" x14ac:dyDescent="0.2">
      <c r="B16" t="s">
        <v>39</v>
      </c>
      <c r="C16" s="11">
        <v>0.34964093357271092</v>
      </c>
      <c r="D16" s="11">
        <v>0.98020798389802088</v>
      </c>
      <c r="E16" s="11"/>
      <c r="F16" s="11"/>
      <c r="G16" s="11"/>
      <c r="H16" s="13">
        <v>3.1360000000000001</v>
      </c>
      <c r="I16" s="13">
        <v>1.0805</v>
      </c>
      <c r="J16" s="13">
        <v>2.0555000000000003</v>
      </c>
      <c r="K16" s="14">
        <v>6.4499083125861834E-2</v>
      </c>
      <c r="L16" s="11">
        <v>6.0231131602109911E-2</v>
      </c>
      <c r="M16" s="11">
        <f t="shared" si="0"/>
        <v>7.2337589054133997E-2</v>
      </c>
      <c r="N16" s="15">
        <v>0.81258219614337035</v>
      </c>
      <c r="O16" s="15">
        <v>7.289933506300178E-2</v>
      </c>
      <c r="P16" s="15">
        <v>4.8139704805809423E-4</v>
      </c>
      <c r="Q16" s="15">
        <v>2.5572570454848026E-4</v>
      </c>
      <c r="R16" s="15">
        <v>3.5968292918920281E-3</v>
      </c>
      <c r="S16" s="15" t="s">
        <v>26</v>
      </c>
      <c r="T16" s="15">
        <v>8.1188618374206871E-5</v>
      </c>
      <c r="U16" s="15">
        <v>9.4640780240131397E-6</v>
      </c>
    </row>
    <row r="17" spans="1:21" x14ac:dyDescent="0.2">
      <c r="B17" t="s">
        <v>40</v>
      </c>
      <c r="C17" s="11">
        <v>0.32891832229580586</v>
      </c>
      <c r="D17" s="11">
        <v>0.97801948787672788</v>
      </c>
      <c r="E17" s="11"/>
      <c r="F17" s="11"/>
      <c r="G17" s="11"/>
      <c r="H17" s="13">
        <v>2.617</v>
      </c>
      <c r="I17" s="13">
        <v>1.034</v>
      </c>
      <c r="J17" s="13">
        <v>1.583</v>
      </c>
      <c r="K17" s="14">
        <v>4.9451829718179532E-2</v>
      </c>
      <c r="L17" s="11">
        <v>4.4508048929160174E-2</v>
      </c>
      <c r="M17" s="11">
        <f t="shared" si="0"/>
        <v>5.3454166763921361E-2</v>
      </c>
      <c r="N17" s="15">
        <v>0.85351650269469126</v>
      </c>
      <c r="O17" s="15">
        <v>6.8330217238226673E-2</v>
      </c>
      <c r="P17" s="15">
        <v>4.5782267273823056E-4</v>
      </c>
      <c r="Q17" s="15">
        <v>2.2806101274799981E-4</v>
      </c>
      <c r="R17" s="15" t="s">
        <v>37</v>
      </c>
      <c r="S17" s="15" t="s">
        <v>26</v>
      </c>
      <c r="T17" s="15">
        <v>6.6631629879137204E-5</v>
      </c>
      <c r="U17" s="15">
        <v>6.3811057516041013E-6</v>
      </c>
    </row>
    <row r="18" spans="1:21" x14ac:dyDescent="0.2">
      <c r="B18" t="s">
        <v>41</v>
      </c>
      <c r="C18" s="11">
        <v>0.34952766531713897</v>
      </c>
      <c r="D18" s="11">
        <v>0.99151515151515146</v>
      </c>
      <c r="E18" s="11"/>
      <c r="F18" s="11"/>
      <c r="G18" s="11"/>
      <c r="H18" s="13">
        <v>2.4420000000000002</v>
      </c>
      <c r="I18" s="13">
        <v>0.90134999999999998</v>
      </c>
      <c r="J18" s="13">
        <v>1.5406500000000003</v>
      </c>
      <c r="K18" s="14">
        <v>3.5910791785771189E-2</v>
      </c>
      <c r="L18" s="11">
        <v>4.2045462724077373E-2</v>
      </c>
      <c r="M18" s="11">
        <f t="shared" si="0"/>
        <v>5.0496600731616922E-2</v>
      </c>
      <c r="N18" s="15">
        <v>0.72652332956719923</v>
      </c>
      <c r="O18" s="15">
        <v>5.3823068858487505E-2</v>
      </c>
      <c r="P18" s="15">
        <v>5.004583463207123E-4</v>
      </c>
      <c r="Q18" s="15">
        <v>2.3052683590832826E-4</v>
      </c>
      <c r="R18" s="15">
        <v>1.8186499616389485E-3</v>
      </c>
      <c r="S18" s="15" t="s">
        <v>26</v>
      </c>
      <c r="T18" s="15">
        <v>5.1798363618332277E-5</v>
      </c>
      <c r="U18" s="15">
        <v>8.2419577352610299E-6</v>
      </c>
    </row>
    <row r="19" spans="1:21" x14ac:dyDescent="0.2">
      <c r="A19" t="s">
        <v>50</v>
      </c>
      <c r="B19" t="s">
        <v>30</v>
      </c>
      <c r="C19" s="11">
        <v>0.45708866761498346</v>
      </c>
      <c r="D19" s="11">
        <v>0.96659217561030808</v>
      </c>
      <c r="E19" s="11"/>
      <c r="F19" s="11"/>
      <c r="G19" s="11"/>
      <c r="H19" s="13">
        <v>4.7360000000000007</v>
      </c>
      <c r="I19" s="13">
        <v>0.38605</v>
      </c>
      <c r="J19" s="13">
        <v>4.3499500000000006</v>
      </c>
      <c r="K19" s="14">
        <v>6.9889156371861272E-2</v>
      </c>
      <c r="L19" s="11">
        <v>0.19587944004246355</v>
      </c>
      <c r="M19" s="11">
        <f t="shared" si="0"/>
        <v>0.2352512074909987</v>
      </c>
      <c r="N19" s="15">
        <v>0.39290812010485587</v>
      </c>
      <c r="O19" s="15">
        <v>9.1822382784145201E-2</v>
      </c>
      <c r="P19" s="15">
        <v>2.5837621572996134E-4</v>
      </c>
      <c r="Q19" s="15">
        <v>2.8303139048362644E-4</v>
      </c>
      <c r="R19" s="15">
        <v>3.9113528090811813E-3</v>
      </c>
      <c r="S19" s="15" t="s">
        <v>26</v>
      </c>
      <c r="T19" s="15">
        <v>7.1373726670023683E-5</v>
      </c>
      <c r="U19" s="15">
        <v>1.0667844187060196E-5</v>
      </c>
    </row>
    <row r="20" spans="1:21" x14ac:dyDescent="0.2">
      <c r="B20" t="s">
        <v>42</v>
      </c>
      <c r="C20" s="11">
        <v>0.39100185528756959</v>
      </c>
      <c r="D20" s="11">
        <v>0.92490098761718564</v>
      </c>
      <c r="E20" s="11"/>
      <c r="F20" s="11"/>
      <c r="G20" s="11"/>
      <c r="H20" s="13">
        <v>2.2195</v>
      </c>
      <c r="I20" s="13">
        <v>0.79649999999999999</v>
      </c>
      <c r="J20" s="13">
        <v>1.423</v>
      </c>
      <c r="K20" s="14">
        <v>2.8150872000549838E-2</v>
      </c>
      <c r="L20" s="11">
        <v>4.9573766421206325E-2</v>
      </c>
      <c r="M20" s="11">
        <f t="shared" si="0"/>
        <v>5.9538093471868794E-2</v>
      </c>
      <c r="N20" s="15">
        <v>0.64718930028506438</v>
      </c>
      <c r="O20" s="15">
        <v>6.3870398140383616E-2</v>
      </c>
      <c r="P20" s="15">
        <v>3.8223470666332748E-4</v>
      </c>
      <c r="Q20" s="15">
        <v>2.6537767102164961E-4</v>
      </c>
      <c r="R20" s="15">
        <v>3.1710909316227167E-4</v>
      </c>
      <c r="S20" s="15" t="s">
        <v>26</v>
      </c>
      <c r="T20" s="15">
        <v>5.1964088520416609E-5</v>
      </c>
      <c r="U20" s="15">
        <v>9.7028316833035617E-6</v>
      </c>
    </row>
    <row r="21" spans="1:21" x14ac:dyDescent="0.2">
      <c r="A21" t="s">
        <v>51</v>
      </c>
      <c r="B21" t="s">
        <v>38</v>
      </c>
      <c r="C21" s="11">
        <v>0.36846887778282594</v>
      </c>
      <c r="D21" s="11">
        <v>0.88483453237410081</v>
      </c>
      <c r="E21" s="11"/>
      <c r="F21" s="11"/>
      <c r="G21" s="11"/>
      <c r="H21" s="13">
        <v>4.6995000000000005</v>
      </c>
      <c r="I21" s="13">
        <v>0.86614999999999998</v>
      </c>
      <c r="J21" s="13">
        <v>3.8333500000000003</v>
      </c>
      <c r="K21" s="14">
        <v>7.1314720934315304E-2</v>
      </c>
      <c r="L21" s="11">
        <v>0.1860595623777411</v>
      </c>
      <c r="M21" s="11">
        <f t="shared" si="0"/>
        <v>0.22345753441566707</v>
      </c>
      <c r="N21" s="15">
        <v>0.72748689529002619</v>
      </c>
      <c r="O21" s="15">
        <v>7.8947662934144014E-2</v>
      </c>
      <c r="P21" s="15">
        <v>4.4173242094376164E-4</v>
      </c>
      <c r="Q21" s="15">
        <v>2.2328873607842999E-4</v>
      </c>
      <c r="R21" s="15">
        <v>5.4908962712989576E-3</v>
      </c>
      <c r="S21" s="15" t="s">
        <v>26</v>
      </c>
      <c r="T21" s="15">
        <v>7.3869651491634316E-5</v>
      </c>
      <c r="U21" s="15">
        <v>9.5095936543058624E-6</v>
      </c>
    </row>
    <row r="22" spans="1:21" x14ac:dyDescent="0.2">
      <c r="B22" t="s">
        <v>31</v>
      </c>
      <c r="C22" s="11">
        <v>0.3477537437603993</v>
      </c>
      <c r="D22" s="11">
        <v>0.98546979094877096</v>
      </c>
      <c r="E22" s="11"/>
      <c r="F22" s="11"/>
      <c r="G22" s="11"/>
      <c r="H22" s="13">
        <v>2.5949999999999998</v>
      </c>
      <c r="I22" s="13">
        <v>0.84750000000000003</v>
      </c>
      <c r="J22" s="13">
        <v>1.7474999999999996</v>
      </c>
      <c r="K22" s="14">
        <v>5.2933863727611816E-2</v>
      </c>
      <c r="L22" s="11">
        <v>5.9275775915227473E-2</v>
      </c>
      <c r="M22" s="11">
        <f t="shared" si="0"/>
        <v>7.1190206874188186E-2</v>
      </c>
      <c r="N22" s="15">
        <v>0.75234982744660306</v>
      </c>
      <c r="O22" s="15">
        <v>7.5393693216201235E-2</v>
      </c>
      <c r="P22" s="15">
        <v>4.0142012821329392E-4</v>
      </c>
      <c r="Q22" s="15">
        <v>2.2825819598331818E-4</v>
      </c>
      <c r="R22" s="15">
        <v>1.6208850376204507E-3</v>
      </c>
      <c r="S22" s="15" t="s">
        <v>26</v>
      </c>
      <c r="T22" s="15">
        <v>6.9736228537553449E-5</v>
      </c>
      <c r="U22" s="15">
        <v>1.0152313927430177E-5</v>
      </c>
    </row>
    <row r="23" spans="1:21" x14ac:dyDescent="0.2">
      <c r="B23" t="s">
        <v>43</v>
      </c>
      <c r="C23" s="11">
        <v>0.40396475770925117</v>
      </c>
      <c r="D23" s="11">
        <v>0.97943482763722445</v>
      </c>
      <c r="E23" s="11"/>
      <c r="F23" s="11"/>
      <c r="G23" s="11"/>
      <c r="H23" s="13">
        <v>2.3325</v>
      </c>
      <c r="I23" s="13">
        <v>0.3468</v>
      </c>
      <c r="J23" s="13">
        <v>1.9857</v>
      </c>
      <c r="K23" s="14">
        <v>5.0246727598719357E-2</v>
      </c>
      <c r="L23" s="11">
        <v>6.9010539112136726E-2</v>
      </c>
      <c r="M23" s="11">
        <f t="shared" si="0"/>
        <v>8.2881657473676207E-2</v>
      </c>
      <c r="N23" s="15">
        <v>1.965811459969895</v>
      </c>
      <c r="O23" s="15">
        <v>0.41215337928399609</v>
      </c>
      <c r="P23" s="15">
        <v>2.0584814777543377E-4</v>
      </c>
      <c r="Q23" s="15">
        <v>2.118338515697967E-4</v>
      </c>
      <c r="R23" s="15">
        <v>1.3012489421026384E-3</v>
      </c>
      <c r="S23" s="15" t="s">
        <v>26</v>
      </c>
      <c r="T23" s="15">
        <v>5.0267387998060565E-5</v>
      </c>
      <c r="U23" s="15">
        <v>7.0237225334993358E-6</v>
      </c>
    </row>
    <row r="24" spans="1:21" x14ac:dyDescent="0.2">
      <c r="B24" t="s">
        <v>44</v>
      </c>
      <c r="C24" s="11">
        <v>0.19682768565248757</v>
      </c>
      <c r="D24" s="11">
        <v>0.6988907594031778</v>
      </c>
      <c r="E24" s="11"/>
      <c r="F24" s="11"/>
      <c r="G24" s="11"/>
      <c r="H24" s="13">
        <v>0.40444999999999998</v>
      </c>
      <c r="I24" s="13">
        <v>8.5125000000000006E-2</v>
      </c>
      <c r="J24" s="13">
        <v>0.31932499999999997</v>
      </c>
      <c r="K24" s="14">
        <v>2.2980920624613842E-2</v>
      </c>
      <c r="L24" s="11">
        <v>3.1245316395687624E-2</v>
      </c>
      <c r="M24" s="11">
        <f t="shared" si="0"/>
        <v>3.7525624991220835E-2</v>
      </c>
      <c r="N24" s="15">
        <v>0.13054841382510651</v>
      </c>
      <c r="O24" s="15">
        <v>8.8491012466663035E-2</v>
      </c>
      <c r="P24" s="15">
        <v>6.3333008487824591E-5</v>
      </c>
      <c r="Q24" s="15">
        <v>2.8128206084039587E-4</v>
      </c>
      <c r="R24" s="15">
        <v>2.8473478311574481E-4</v>
      </c>
      <c r="S24" s="15" t="s">
        <v>26</v>
      </c>
      <c r="T24" s="15">
        <v>5.569436605476852E-5</v>
      </c>
      <c r="U24" s="15">
        <v>5.2571749495117272E-6</v>
      </c>
    </row>
  </sheetData>
  <mergeCells count="5">
    <mergeCell ref="E1:G1"/>
    <mergeCell ref="H1:J1"/>
    <mergeCell ref="K1:O1"/>
    <mergeCell ref="P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Dewey</dc:creator>
  <cp:lastModifiedBy>Christian Dewey</cp:lastModifiedBy>
  <dcterms:created xsi:type="dcterms:W3CDTF">2023-01-19T03:23:09Z</dcterms:created>
  <dcterms:modified xsi:type="dcterms:W3CDTF">2023-01-20T08:41:30Z</dcterms:modified>
</cp:coreProperties>
</file>