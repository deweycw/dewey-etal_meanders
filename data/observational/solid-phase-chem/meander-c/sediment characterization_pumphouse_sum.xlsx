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fox\Documents\ALL DOCS HERE\LBNL SFA\2012_new SFA\Field Work\East River\sediment characterization\"/>
    </mc:Choice>
  </mc:AlternateContent>
  <xr:revisionPtr revIDLastSave="0" documentId="13_ncr:1_{A4064FE9-3BC1-4518-8581-FA8DAAEBD1DB}" xr6:coauthVersionLast="36" xr6:coauthVersionMax="36" xr10:uidLastSave="{00000000-0000-0000-0000-000000000000}"/>
  <bookViews>
    <workbookView xWindow="720" yWindow="437" windowWidth="8666" windowHeight="2169" xr2:uid="{00000000-000D-0000-FFFF-FFFF00000000}"/>
  </bookViews>
  <sheets>
    <sheet name="data summary" sheetId="1" r:id="rId1"/>
    <sheet name="meta data" sheetId="2" r:id="rId2"/>
    <sheet name="methods notes" sheetId="3" r:id="rId3"/>
  </sheets>
  <calcPr calcId="191029"/>
</workbook>
</file>

<file path=xl/calcChain.xml><?xml version="1.0" encoding="utf-8"?>
<calcChain xmlns="http://schemas.openxmlformats.org/spreadsheetml/2006/main">
  <c r="LW61" i="1" l="1"/>
  <c r="LW60" i="1"/>
  <c r="LW59" i="1"/>
  <c r="LW58" i="1"/>
  <c r="BG61" i="1" l="1"/>
  <c r="BG60" i="1"/>
  <c r="BG59" i="1"/>
  <c r="BG58" i="1"/>
  <c r="LU61" i="1" l="1"/>
  <c r="LU60" i="1"/>
  <c r="LU59" i="1"/>
  <c r="LU58" i="1"/>
  <c r="LS61" i="1"/>
  <c r="LS60" i="1"/>
  <c r="LS59" i="1"/>
  <c r="LS58" i="1"/>
  <c r="LQ61" i="1"/>
  <c r="LQ60" i="1"/>
  <c r="LQ59" i="1"/>
  <c r="LQ58" i="1"/>
  <c r="LO61" i="1"/>
  <c r="LO60" i="1"/>
  <c r="LO59" i="1"/>
  <c r="LO58" i="1"/>
  <c r="LM61" i="1"/>
  <c r="LM60" i="1"/>
  <c r="LM59" i="1"/>
  <c r="LM58" i="1"/>
  <c r="LK61" i="1"/>
  <c r="LK60" i="1"/>
  <c r="LK59" i="1"/>
  <c r="LK58" i="1"/>
  <c r="LC61" i="1"/>
  <c r="LC60" i="1"/>
  <c r="LC59" i="1"/>
  <c r="LC58" i="1"/>
  <c r="LA61" i="1"/>
  <c r="LA60" i="1"/>
  <c r="LA59" i="1"/>
  <c r="LA58" i="1"/>
  <c r="KY61" i="1"/>
  <c r="KY60" i="1"/>
  <c r="KY59" i="1"/>
  <c r="KY58" i="1"/>
  <c r="KW61" i="1"/>
  <c r="KW60" i="1"/>
  <c r="KW59" i="1"/>
  <c r="KW58" i="1"/>
  <c r="KU61" i="1"/>
  <c r="KU60" i="1"/>
  <c r="KU59" i="1"/>
  <c r="KU58" i="1"/>
  <c r="KS61" i="1"/>
  <c r="KS60" i="1"/>
  <c r="KS59" i="1"/>
  <c r="KS58" i="1"/>
  <c r="LI61" i="1" l="1"/>
  <c r="LI60" i="1"/>
  <c r="LI59" i="1"/>
  <c r="LI58" i="1"/>
  <c r="LG61" i="1"/>
  <c r="LG60" i="1"/>
  <c r="LG59" i="1"/>
  <c r="LG58" i="1"/>
  <c r="LE61" i="1"/>
  <c r="LE60" i="1"/>
  <c r="LE59" i="1"/>
  <c r="LE58" i="1"/>
  <c r="CV61" i="1" l="1"/>
  <c r="CV60" i="1"/>
  <c r="CV59" i="1"/>
  <c r="CV58" i="1"/>
  <c r="CT61" i="1"/>
  <c r="CT60" i="1"/>
  <c r="CT59" i="1"/>
  <c r="CT58" i="1"/>
  <c r="CR61" i="1"/>
  <c r="CR60" i="1"/>
  <c r="CR59" i="1"/>
  <c r="CR58" i="1"/>
  <c r="CP61" i="1"/>
  <c r="CP60" i="1"/>
  <c r="CP59" i="1"/>
  <c r="CP58" i="1"/>
  <c r="CN61" i="1"/>
  <c r="CN60" i="1"/>
  <c r="CN59" i="1"/>
  <c r="CN58" i="1"/>
  <c r="CL61" i="1"/>
  <c r="CL60" i="1"/>
  <c r="CL59" i="1"/>
  <c r="CL58" i="1"/>
  <c r="CJ61" i="1"/>
  <c r="CJ60" i="1"/>
  <c r="CJ59" i="1"/>
  <c r="CJ58" i="1"/>
  <c r="CH61" i="1"/>
  <c r="CH60" i="1"/>
  <c r="CH59" i="1"/>
  <c r="CH58" i="1"/>
  <c r="CF61" i="1"/>
  <c r="CF60" i="1"/>
  <c r="CF59" i="1"/>
  <c r="CF58" i="1"/>
  <c r="P53" i="1" l="1"/>
  <c r="P51" i="1"/>
  <c r="P49" i="1"/>
  <c r="P47" i="1"/>
  <c r="P42" i="1"/>
  <c r="P35" i="1"/>
  <c r="P31" i="1"/>
  <c r="P27" i="1"/>
  <c r="P25" i="1"/>
  <c r="P23" i="1"/>
  <c r="P21" i="1"/>
  <c r="P19" i="1"/>
  <c r="P16" i="1"/>
  <c r="P14" i="1"/>
  <c r="P12" i="1"/>
  <c r="P9" i="1"/>
  <c r="P7" i="1"/>
  <c r="P5" i="1"/>
  <c r="P58" i="1" l="1"/>
  <c r="CC61" i="1" l="1"/>
  <c r="CC60" i="1"/>
  <c r="CC59" i="1"/>
  <c r="CC58" i="1"/>
  <c r="CB61" i="1"/>
  <c r="CB60" i="1"/>
  <c r="CB59" i="1"/>
  <c r="CB58" i="1"/>
  <c r="CA61" i="1"/>
  <c r="CA60" i="1"/>
  <c r="CA59" i="1"/>
  <c r="CA58" i="1"/>
  <c r="BZ61" i="1"/>
  <c r="BZ60" i="1"/>
  <c r="BZ59" i="1"/>
  <c r="BZ58" i="1"/>
  <c r="BY61" i="1"/>
  <c r="BY60" i="1"/>
  <c r="BY59" i="1"/>
  <c r="BY58" i="1"/>
  <c r="T61" i="1"/>
  <c r="T60" i="1"/>
  <c r="T59" i="1"/>
  <c r="T58" i="1"/>
  <c r="S61" i="1"/>
  <c r="S60" i="1"/>
  <c r="S59" i="1"/>
  <c r="S58" i="1"/>
  <c r="R61" i="1"/>
  <c r="R60" i="1"/>
  <c r="R59" i="1"/>
  <c r="R58" i="1"/>
  <c r="Q61" i="1"/>
  <c r="Q60" i="1"/>
  <c r="Q59" i="1"/>
  <c r="Q58" i="1"/>
  <c r="BU61" i="1" l="1"/>
  <c r="BU60" i="1"/>
  <c r="BU59" i="1"/>
  <c r="BU58" i="1"/>
  <c r="BS61" i="1"/>
  <c r="BS60" i="1"/>
  <c r="BS59" i="1"/>
  <c r="BS58" i="1"/>
  <c r="BQ61" i="1"/>
  <c r="BQ60" i="1"/>
  <c r="BQ59" i="1"/>
  <c r="BQ58" i="1"/>
  <c r="BO61" i="1"/>
  <c r="BO60" i="1"/>
  <c r="BO59" i="1"/>
  <c r="BO58" i="1"/>
  <c r="BM61" i="1"/>
  <c r="BM60" i="1"/>
  <c r="BM59" i="1"/>
  <c r="BM58" i="1"/>
  <c r="BK61" i="1"/>
  <c r="BK60" i="1"/>
  <c r="BK59" i="1"/>
  <c r="BK58" i="1"/>
  <c r="BI61" i="1" l="1"/>
  <c r="BI60" i="1"/>
  <c r="BI59" i="1"/>
  <c r="BI58" i="1"/>
  <c r="BE61" i="1" l="1"/>
  <c r="BC61" i="1"/>
  <c r="BA61" i="1"/>
  <c r="AY61" i="1"/>
  <c r="AW61" i="1"/>
  <c r="AU61" i="1"/>
  <c r="AS61" i="1"/>
  <c r="AQ61" i="1"/>
  <c r="AO61" i="1"/>
  <c r="AM61" i="1"/>
  <c r="AK61" i="1"/>
  <c r="AI61" i="1"/>
  <c r="AG61" i="1"/>
  <c r="AE61" i="1"/>
  <c r="AC61" i="1"/>
  <c r="AA61" i="1"/>
  <c r="F61" i="1"/>
  <c r="E61" i="1"/>
  <c r="Y61" i="1"/>
  <c r="W61" i="1"/>
  <c r="U61" i="1"/>
  <c r="N61" i="1"/>
  <c r="L61" i="1"/>
  <c r="J61" i="1"/>
  <c r="BE60" i="1"/>
  <c r="BC60" i="1"/>
  <c r="BA60" i="1"/>
  <c r="AY60" i="1"/>
  <c r="AW60" i="1"/>
  <c r="AU60" i="1"/>
  <c r="AS60" i="1"/>
  <c r="AQ60" i="1"/>
  <c r="AO60" i="1"/>
  <c r="AM60" i="1"/>
  <c r="AK60" i="1"/>
  <c r="AI60" i="1"/>
  <c r="AG60" i="1"/>
  <c r="AE60" i="1"/>
  <c r="AC60" i="1"/>
  <c r="AA60" i="1"/>
  <c r="F60" i="1"/>
  <c r="E60" i="1"/>
  <c r="Y60" i="1"/>
  <c r="W60" i="1"/>
  <c r="U60" i="1"/>
  <c r="N60" i="1"/>
  <c r="L60" i="1"/>
  <c r="J60" i="1"/>
  <c r="BE59" i="1"/>
  <c r="BC59" i="1"/>
  <c r="BA59" i="1"/>
  <c r="AY59" i="1"/>
  <c r="AW59" i="1"/>
  <c r="AU59" i="1"/>
  <c r="AS59" i="1"/>
  <c r="AQ59" i="1"/>
  <c r="AO59" i="1"/>
  <c r="AM59" i="1"/>
  <c r="AK59" i="1"/>
  <c r="AI59" i="1"/>
  <c r="AG59" i="1"/>
  <c r="AE59" i="1"/>
  <c r="AC59" i="1"/>
  <c r="AA59" i="1"/>
  <c r="F59" i="1"/>
  <c r="E59" i="1"/>
  <c r="Y59" i="1"/>
  <c r="W59" i="1"/>
  <c r="U59" i="1"/>
  <c r="N59" i="1"/>
  <c r="L59" i="1"/>
  <c r="J59" i="1"/>
  <c r="BE58" i="1"/>
  <c r="BC58" i="1"/>
  <c r="BA58" i="1"/>
  <c r="AY58" i="1"/>
  <c r="AW58" i="1"/>
  <c r="AU58" i="1"/>
  <c r="AS58" i="1"/>
  <c r="AQ58" i="1"/>
  <c r="AO58" i="1"/>
  <c r="AM58" i="1"/>
  <c r="AK58" i="1"/>
  <c r="AI58" i="1"/>
  <c r="AG58" i="1"/>
  <c r="AE58" i="1"/>
  <c r="AC58" i="1"/>
  <c r="AA58" i="1"/>
  <c r="F58" i="1"/>
  <c r="E58" i="1"/>
  <c r="Y58" i="1"/>
  <c r="W58" i="1"/>
  <c r="U58" i="1"/>
  <c r="N58" i="1"/>
  <c r="L58" i="1"/>
  <c r="J58" i="1"/>
  <c r="P61" i="1" l="1"/>
  <c r="P59" i="1"/>
  <c r="P60" i="1"/>
</calcChain>
</file>

<file path=xl/sharedStrings.xml><?xml version="1.0" encoding="utf-8"?>
<sst xmlns="http://schemas.openxmlformats.org/spreadsheetml/2006/main" count="2201" uniqueCount="362">
  <si>
    <t>cm bgs</t>
  </si>
  <si>
    <t>w/w</t>
  </si>
  <si>
    <t>Name</t>
  </si>
  <si>
    <t>depth</t>
  </si>
  <si>
    <t>fraction &lt;2mm</t>
  </si>
  <si>
    <t>MOP-1-1</t>
  </si>
  <si>
    <t>0-15</t>
  </si>
  <si>
    <t>MOP-1-2</t>
  </si>
  <si>
    <t>15-30</t>
  </si>
  <si>
    <t>MOP-1-3</t>
  </si>
  <si>
    <t>30-45</t>
  </si>
  <si>
    <t>MOP-1-4</t>
  </si>
  <si>
    <t>50-70</t>
  </si>
  <si>
    <t>MOP-1-5</t>
  </si>
  <si>
    <t>70-82</t>
  </si>
  <si>
    <t>MOP-1-6</t>
  </si>
  <si>
    <t>82-97</t>
  </si>
  <si>
    <t>MOP-1-7</t>
  </si>
  <si>
    <t>97-115</t>
  </si>
  <si>
    <t>MOP-2-1</t>
  </si>
  <si>
    <t>MOP-2-2</t>
  </si>
  <si>
    <t>MOP-2-3</t>
  </si>
  <si>
    <t>MOP-2-4</t>
  </si>
  <si>
    <t>45-60</t>
  </si>
  <si>
    <t>MOP-2-5</t>
  </si>
  <si>
    <t>60-75</t>
  </si>
  <si>
    <t>MOP-2-6</t>
  </si>
  <si>
    <t>75-90</t>
  </si>
  <si>
    <t>MOP-2-7</t>
  </si>
  <si>
    <t>90-110</t>
  </si>
  <si>
    <t>MOP-3-1</t>
  </si>
  <si>
    <t>MOP-3-2</t>
  </si>
  <si>
    <t>15-26</t>
  </si>
  <si>
    <t>MOP-3-3</t>
  </si>
  <si>
    <t>26-41</t>
  </si>
  <si>
    <t>MOP-3-4</t>
  </si>
  <si>
    <t>41-56</t>
  </si>
  <si>
    <t>MOP-3-5</t>
  </si>
  <si>
    <t>56-71</t>
  </si>
  <si>
    <t>MOP-3-6</t>
  </si>
  <si>
    <t>71-91</t>
  </si>
  <si>
    <t>MOP-4-1</t>
  </si>
  <si>
    <t>MOP-4-2</t>
  </si>
  <si>
    <t>MOP-4-3</t>
  </si>
  <si>
    <t>MOP-4-4</t>
  </si>
  <si>
    <t>MOP-4-5</t>
  </si>
  <si>
    <t>60-70</t>
  </si>
  <si>
    <t>MCC-1A-1</t>
  </si>
  <si>
    <t>0-18</t>
  </si>
  <si>
    <t>MCC-1A-2</t>
  </si>
  <si>
    <t>18-29</t>
  </si>
  <si>
    <t>MCC-1A-3</t>
  </si>
  <si>
    <t>29-43</t>
  </si>
  <si>
    <t>MCC-1A-4</t>
  </si>
  <si>
    <t>70-80</t>
  </si>
  <si>
    <t>MCC-1A-5</t>
  </si>
  <si>
    <t>80-85</t>
  </si>
  <si>
    <t>MCC-1A-6</t>
  </si>
  <si>
    <t>83-95</t>
  </si>
  <si>
    <t>MCC-1A-7</t>
  </si>
  <si>
    <t>95-105</t>
  </si>
  <si>
    <t>MCC-1B-1</t>
  </si>
  <si>
    <t>MCC-1B-2</t>
  </si>
  <si>
    <t>15-32</t>
  </si>
  <si>
    <t>MCC-1B-3</t>
  </si>
  <si>
    <t>32-40</t>
  </si>
  <si>
    <t>MCC-1B-4</t>
  </si>
  <si>
    <t>40-50</t>
  </si>
  <si>
    <t>MCC-1B-5</t>
  </si>
  <si>
    <t>50-65</t>
  </si>
  <si>
    <t>MCC-3-1</t>
  </si>
  <si>
    <t>0-16</t>
  </si>
  <si>
    <t>MCC-3-2</t>
  </si>
  <si>
    <t>16-29</t>
  </si>
  <si>
    <t>MCC-3-3</t>
  </si>
  <si>
    <t>29-47</t>
  </si>
  <si>
    <t>MCC-3-4 0-5</t>
  </si>
  <si>
    <t>47-52</t>
  </si>
  <si>
    <t>MCC-3-4 5-15</t>
  </si>
  <si>
    <t>52-65</t>
  </si>
  <si>
    <t>MCC-3-5</t>
  </si>
  <si>
    <t>65-74</t>
  </si>
  <si>
    <t>MCC-3-6</t>
  </si>
  <si>
    <t>80-90</t>
  </si>
  <si>
    <t>MCC-3-7</t>
  </si>
  <si>
    <t>90-100</t>
  </si>
  <si>
    <t>MCC-3-8</t>
  </si>
  <si>
    <t>100-110</t>
  </si>
  <si>
    <t>MCC-5-1</t>
  </si>
  <si>
    <t>0-19</t>
  </si>
  <si>
    <t>19-47</t>
  </si>
  <si>
    <t>MCC-5-4</t>
  </si>
  <si>
    <t>47-72</t>
  </si>
  <si>
    <t>MCC-5-5</t>
  </si>
  <si>
    <t>72-108</t>
  </si>
  <si>
    <t>mmol/g</t>
  </si>
  <si>
    <t>sd</t>
  </si>
  <si>
    <t>Mg</t>
  </si>
  <si>
    <t>Al</t>
  </si>
  <si>
    <t>Si</t>
  </si>
  <si>
    <t>Mn</t>
  </si>
  <si>
    <t>Ca</t>
  </si>
  <si>
    <t>Fe</t>
  </si>
  <si>
    <t>HSP-1-1</t>
  </si>
  <si>
    <t>HSP-1-2</t>
  </si>
  <si>
    <t>HSP-1-3</t>
  </si>
  <si>
    <t>HSP-1-4</t>
  </si>
  <si>
    <t>Anoxic HCl Extractions</t>
  </si>
  <si>
    <t>TOC</t>
  </si>
  <si>
    <t>%</t>
  </si>
  <si>
    <t>‰</t>
  </si>
  <si>
    <t>Δ14C</t>
  </si>
  <si>
    <t xml:space="preserve">14 C age </t>
  </si>
  <si>
    <t>Fraction Modern</t>
  </si>
  <si>
    <t>BP</t>
  </si>
  <si>
    <t>TOC/TN</t>
  </si>
  <si>
    <t>TN</t>
  </si>
  <si>
    <t>AVG</t>
  </si>
  <si>
    <t>SD</t>
  </si>
  <si>
    <t>MIN</t>
  </si>
  <si>
    <t>MAX</t>
  </si>
  <si>
    <t>CBD Extractions</t>
  </si>
  <si>
    <t>K</t>
  </si>
  <si>
    <t>Oxalate Extractions</t>
  </si>
  <si>
    <t>Avg Depth</t>
  </si>
  <si>
    <t>MOP-1</t>
  </si>
  <si>
    <t>MOP-2</t>
  </si>
  <si>
    <t>MOP-3</t>
  </si>
  <si>
    <t>MOP-4</t>
  </si>
  <si>
    <t>MCC-1A</t>
  </si>
  <si>
    <t>MCC-1B</t>
  </si>
  <si>
    <t>MCC-3</t>
  </si>
  <si>
    <t>MCC-5</t>
  </si>
  <si>
    <t>HSP-1</t>
  </si>
  <si>
    <t>BDL</t>
  </si>
  <si>
    <t>--</t>
  </si>
  <si>
    <t>0.031*</t>
  </si>
  <si>
    <t>Footnotes:</t>
  </si>
  <si>
    <t>* Some sample spilled during processing, so OC value is underestimated.</t>
  </si>
  <si>
    <t>Sediment Organic 14C Data</t>
  </si>
  <si>
    <t>Fe(II)</t>
  </si>
  <si>
    <t>OC</t>
  </si>
  <si>
    <t>mol/g</t>
  </si>
  <si>
    <t>mol/mol</t>
  </si>
  <si>
    <t>Li</t>
  </si>
  <si>
    <t>B</t>
  </si>
  <si>
    <t>Na</t>
  </si>
  <si>
    <t>V</t>
  </si>
  <si>
    <t>Cr</t>
  </si>
  <si>
    <t>Ti</t>
  </si>
  <si>
    <t>Ni</t>
  </si>
  <si>
    <t>Co</t>
  </si>
  <si>
    <t>Cu</t>
  </si>
  <si>
    <t>Zn</t>
  </si>
  <si>
    <t>As</t>
  </si>
  <si>
    <t>Rb</t>
  </si>
  <si>
    <t>Sr</t>
  </si>
  <si>
    <t>Zr</t>
  </si>
  <si>
    <t>Mo</t>
  </si>
  <si>
    <t>Ag</t>
  </si>
  <si>
    <t>Cd</t>
  </si>
  <si>
    <t>Sn</t>
  </si>
  <si>
    <t>Sb</t>
  </si>
  <si>
    <t>Cs</t>
  </si>
  <si>
    <t>Ba</t>
  </si>
  <si>
    <t>Eu</t>
  </si>
  <si>
    <t>Pb</t>
  </si>
  <si>
    <t>Th</t>
  </si>
  <si>
    <t>U</t>
  </si>
  <si>
    <t>Sample Name</t>
  </si>
  <si>
    <t>C and N by EA</t>
  </si>
  <si>
    <t>TIC</t>
  </si>
  <si>
    <t>TOC and TIC by Shimadzu</t>
  </si>
  <si>
    <t>moisture content (&lt;2mm)</t>
  </si>
  <si>
    <t>0.01 M NaCl Extractions - metal/OC ratios</t>
  </si>
  <si>
    <t>0.01 M NaCl Extractions - extracted metals data</t>
  </si>
  <si>
    <t>Location Notes</t>
  </si>
  <si>
    <t>Lat</t>
  </si>
  <si>
    <t>Long</t>
  </si>
  <si>
    <t>oxbow at bank</t>
  </si>
  <si>
    <t>oxbow mid bank</t>
  </si>
  <si>
    <t>oxbow far bank</t>
  </si>
  <si>
    <t>oxbow marsh</t>
  </si>
  <si>
    <t>1-2ft from MCP-1</t>
  </si>
  <si>
    <t>1-2ft from MCP-3</t>
  </si>
  <si>
    <t>1-2ft from MCP-5</t>
  </si>
  <si>
    <t>upper seep on hillslope above Meander D</t>
  </si>
  <si>
    <t>note these are GPS locations for MCP wells, these cores collected nearby</t>
  </si>
  <si>
    <t>Parameter</t>
  </si>
  <si>
    <t>Description</t>
  </si>
  <si>
    <t>moisture content</t>
  </si>
  <si>
    <t>fraction of sediment in core in &lt;2mm fraction, by wet weight</t>
  </si>
  <si>
    <t>Table 1. Brief method descriptions.</t>
  </si>
  <si>
    <t>Table 2. List of abbreviations.</t>
  </si>
  <si>
    <t>Abbreviation</t>
  </si>
  <si>
    <t>Full Name</t>
  </si>
  <si>
    <t>total organic carbon</t>
  </si>
  <si>
    <t>total inorganic carbon</t>
  </si>
  <si>
    <t>EA</t>
  </si>
  <si>
    <t>Erbo Analytical (??)</t>
  </si>
  <si>
    <t>All analyses performed on &lt;2 mm fraction of sediment unless otherwise indicated.</t>
  </si>
  <si>
    <t>standard deviation</t>
  </si>
  <si>
    <t xml:space="preserve">Reported errors are standard deviations of duplicate analyses, except for 14C analysis, NaCl and PP extractions, and density fractionations, for which analytical error is reported. </t>
  </si>
  <si>
    <t>PP</t>
  </si>
  <si>
    <t>pyrophosphate</t>
  </si>
  <si>
    <t>radiocarbon analysis of sediment OC after acid (HCl) fumigation</t>
  </si>
  <si>
    <t>sediment organic 14C</t>
  </si>
  <si>
    <t>CBD</t>
  </si>
  <si>
    <t>oxalate extractions</t>
  </si>
  <si>
    <t>CBD extractions</t>
  </si>
  <si>
    <t>anoxic HCl extractions</t>
  </si>
  <si>
    <t>NaCl-PP extractions</t>
  </si>
  <si>
    <t>citrate-bicarbonate-dithionite</t>
  </si>
  <si>
    <t>extraction of sediment with 0.5 M HCl in an anaerobic glove box</t>
  </si>
  <si>
    <t>All data reported in terms of dry weight of sediment, unless otherwise indicated.</t>
  </si>
  <si>
    <t>References</t>
  </si>
  <si>
    <t>Loeppert, R. H. and W. P. Inskeep (1996). Iron. Methods of soil analysis. Part 3. Chemical methods. D. L. Sparks. Madison, WI, ASA and SSSA: 639-664.</t>
  </si>
  <si>
    <t>sequential extraction of sediment with 0.01 M NaCl and 0.1 M PP (pH 10) according to Fox et al. (2017)</t>
  </si>
  <si>
    <t>extraction of sediment with acid ammonium oxalate in the dark according to Loeppert &amp; Inskeep (1996)</t>
  </si>
  <si>
    <t>CBD extraction of sediment according to Loeppert &amp; Inskeep (1996)</t>
  </si>
  <si>
    <t>Fox, P. M., P. S. Nico, M.M. Tfaily, K. Heckman, J.A. Davis (2017). Characterization of natural organic matter in low-carbon sediments: Extraction and analytical approaches. Organic Geochemistry 114(Supplement C): 12-22.</t>
  </si>
  <si>
    <t>General notes on methods:</t>
  </si>
  <si>
    <t>PP-SPE</t>
  </si>
  <si>
    <t>AS</t>
  </si>
  <si>
    <t>acid soluble</t>
  </si>
  <si>
    <t>SPE</t>
  </si>
  <si>
    <t>solid-phase extraction</t>
  </si>
  <si>
    <t>density fractionations</t>
  </si>
  <si>
    <t>fractionation of sediment into FLF, OLF, and HF using SPT at 1.65 g/mL as described by McFarlane et al. (2013)</t>
  </si>
  <si>
    <t>McFarlane, K. J., M. S. Torn, P.J. Hanson, R.C. Porras, C.W. Swanston, M.A. Callaham, and T.P. Guilderson (2013). Comparison of soil organic matter dynamics at five temperate deciduous forests with physical fractionation and radiocarbon measurements. Biogeochemistry 112(1): 457-476.</t>
  </si>
  <si>
    <t>NOM purified by SPE from PP extraction (acid soluble)</t>
  </si>
  <si>
    <t>PP &gt;1kD</t>
  </si>
  <si>
    <t>NOM purified by dialysis (1 kDalton membrane) from PP extraction (acid insoluble)</t>
  </si>
  <si>
    <t>TOC on sediments determined by difference between TC and TIC on Shimadzu TOC analyzer equipped with solids module</t>
  </si>
  <si>
    <t>TOC and TN in sediments after extraction of TIC by HCl; 13C and 15N values also determined</t>
  </si>
  <si>
    <t>sediment field moisture content by weight: mass water/mass dry soil</t>
  </si>
  <si>
    <t>FLF</t>
  </si>
  <si>
    <t>free light fraction</t>
  </si>
  <si>
    <t>occluded light fraction</t>
  </si>
  <si>
    <t>heavy fraction (mineral-associated)</t>
  </si>
  <si>
    <t>OLF</t>
  </si>
  <si>
    <t>HF</t>
  </si>
  <si>
    <t xml:space="preserve">PP-SPE Fraction - molar metal/OC ratios </t>
  </si>
  <si>
    <t>Location</t>
  </si>
  <si>
    <t>GPS Coordinates</t>
  </si>
  <si>
    <r>
      <t>m</t>
    </r>
    <r>
      <rPr>
        <b/>
        <vertAlign val="subscript"/>
        <sz val="11"/>
        <color theme="1"/>
        <rFont val="Calibri"/>
        <family val="2"/>
        <scheme val="minor"/>
      </rPr>
      <t>FLF/Tot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</si>
  <si>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OLF/Tot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</si>
  <si>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HF/Tot</t>
    </r>
  </si>
  <si>
    <t>g/g</t>
  </si>
  <si>
    <r>
      <t>m</t>
    </r>
    <r>
      <rPr>
        <vertAlign val="subscript"/>
        <sz val="11"/>
        <color theme="1"/>
        <rFont val="Calibri"/>
        <family val="2"/>
        <scheme val="minor"/>
      </rPr>
      <t>FLF/Tot</t>
    </r>
  </si>
  <si>
    <r>
      <t>m</t>
    </r>
    <r>
      <rPr>
        <vertAlign val="subscript"/>
        <sz val="11"/>
        <color theme="1"/>
        <rFont val="Calibri"/>
        <family val="2"/>
        <scheme val="minor"/>
      </rPr>
      <t>OLF/Tot</t>
    </r>
  </si>
  <si>
    <r>
      <t>m</t>
    </r>
    <r>
      <rPr>
        <vertAlign val="subscript"/>
        <sz val="11"/>
        <color theme="1"/>
        <rFont val="Calibri"/>
        <family val="2"/>
        <scheme val="minor"/>
      </rPr>
      <t>HF/Tot</t>
    </r>
  </si>
  <si>
    <t>total mass of FLF fraction divided by total mass of sediment</t>
  </si>
  <si>
    <t>total mass of OLF fraction divided by total mass of sediment</t>
  </si>
  <si>
    <t>total mass of HF fraction divided by total mass of sediment</t>
  </si>
  <si>
    <r>
      <t>OC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</si>
  <si>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t>OC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</si>
  <si>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t>OC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</si>
  <si>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t>OC</t>
    </r>
    <r>
      <rPr>
        <vertAlign val="subscript"/>
        <sz val="11"/>
        <color theme="1"/>
        <rFont val="Calibri"/>
        <family val="2"/>
        <scheme val="minor"/>
      </rPr>
      <t>FLF</t>
    </r>
  </si>
  <si>
    <r>
      <t>OC</t>
    </r>
    <r>
      <rPr>
        <vertAlign val="subscript"/>
        <sz val="11"/>
        <color theme="1"/>
        <rFont val="Calibri"/>
        <family val="2"/>
        <scheme val="minor"/>
      </rPr>
      <t>OLF</t>
    </r>
  </si>
  <si>
    <r>
      <t>OC</t>
    </r>
    <r>
      <rPr>
        <vertAlign val="subscript"/>
        <sz val="11"/>
        <color theme="1"/>
        <rFont val="Calibri"/>
        <family val="2"/>
        <scheme val="minor"/>
      </rPr>
      <t>HF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</si>
  <si>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</si>
  <si>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</si>
  <si>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</si>
  <si>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t>N</t>
    </r>
    <r>
      <rPr>
        <vertAlign val="subscript"/>
        <sz val="11"/>
        <color theme="1"/>
        <rFont val="Calibri"/>
        <family val="2"/>
        <scheme val="minor"/>
      </rPr>
      <t>FLF</t>
    </r>
  </si>
  <si>
    <r>
      <t>N</t>
    </r>
    <r>
      <rPr>
        <vertAlign val="subscript"/>
        <sz val="11"/>
        <color theme="1"/>
        <rFont val="Calibri"/>
        <family val="2"/>
        <scheme val="minor"/>
      </rPr>
      <t>OLF</t>
    </r>
  </si>
  <si>
    <r>
      <t>N</t>
    </r>
    <r>
      <rPr>
        <vertAlign val="subscript"/>
        <sz val="11"/>
        <color theme="1"/>
        <rFont val="Calibri"/>
        <family val="2"/>
        <scheme val="minor"/>
      </rPr>
      <t>HF</t>
    </r>
  </si>
  <si>
    <t>OC content of FLF fraction</t>
  </si>
  <si>
    <t>OC content of OLF fraction</t>
  </si>
  <si>
    <t>OC content of HF fraction</t>
  </si>
  <si>
    <t>N content of FLF fraction</t>
  </si>
  <si>
    <t>N content of OLF fraction</t>
  </si>
  <si>
    <t>N content of HF fraction</t>
  </si>
  <si>
    <r>
      <t>C/N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</si>
  <si>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t>C/N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</si>
  <si>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t>C/N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</si>
  <si>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t>C/N</t>
    </r>
    <r>
      <rPr>
        <vertAlign val="subscript"/>
        <sz val="11"/>
        <color theme="1"/>
        <rFont val="Calibri"/>
        <family val="2"/>
        <scheme val="minor"/>
      </rPr>
      <t>FLF</t>
    </r>
  </si>
  <si>
    <r>
      <t>C/N</t>
    </r>
    <r>
      <rPr>
        <vertAlign val="subscript"/>
        <sz val="11"/>
        <color theme="1"/>
        <rFont val="Calibri"/>
        <family val="2"/>
        <scheme val="minor"/>
      </rPr>
      <t>OLF</t>
    </r>
  </si>
  <si>
    <r>
      <t>C/N</t>
    </r>
    <r>
      <rPr>
        <vertAlign val="subscript"/>
        <sz val="11"/>
        <color theme="1"/>
        <rFont val="Calibri"/>
        <family val="2"/>
        <scheme val="minor"/>
      </rPr>
      <t>HF</t>
    </r>
  </si>
  <si>
    <t>OC/N of FLF fraction (dimensionless)</t>
  </si>
  <si>
    <t>OC/N of OLF fraction (dimensionless)</t>
  </si>
  <si>
    <t>OC/N of HF fraction (dimensionless)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</si>
  <si>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13C</t>
    </r>
  </si>
  <si>
    <t>years before pulse (1950)</t>
  </si>
  <si>
    <t>P</t>
  </si>
  <si>
    <t>Se</t>
  </si>
  <si>
    <t>MCC-5-2</t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</si>
  <si>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</si>
  <si>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FLF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</si>
  <si>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 content of FLF fraction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</si>
  <si>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 content of OLF fraction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</si>
  <si>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 content of HF fraction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</si>
  <si>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HF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</si>
  <si>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OLF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</si>
  <si>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</si>
  <si>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</si>
  <si>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</si>
  <si>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</si>
  <si>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</si>
  <si>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</si>
  <si>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</si>
  <si>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</si>
  <si>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</si>
  <si>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</si>
  <si>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HF</t>
    </r>
  </si>
  <si>
    <t>FM</t>
  </si>
  <si>
    <t>fraction modern</t>
  </si>
  <si>
    <t>&gt;modern</t>
  </si>
  <si>
    <r>
      <t>OC</t>
    </r>
    <r>
      <rPr>
        <b/>
        <vertAlign val="subscript"/>
        <sz val="11"/>
        <color theme="1"/>
        <rFont val="Calibri"/>
        <family val="2"/>
        <scheme val="minor"/>
      </rPr>
      <t>FLF-sed</t>
    </r>
  </si>
  <si>
    <r>
      <t>OC</t>
    </r>
    <r>
      <rPr>
        <b/>
        <vertAlign val="subscript"/>
        <sz val="11"/>
        <color theme="1"/>
        <rFont val="Calibri"/>
        <family val="2"/>
        <scheme val="minor"/>
      </rPr>
      <t>OLF-sed</t>
    </r>
  </si>
  <si>
    <r>
      <t>OC</t>
    </r>
    <r>
      <rPr>
        <b/>
        <vertAlign val="subscript"/>
        <sz val="11"/>
        <color theme="1"/>
        <rFont val="Calibri"/>
        <family val="2"/>
        <scheme val="minor"/>
      </rPr>
      <t>HF-sed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</si>
  <si>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FLF-sed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</si>
  <si>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OLF-sed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</si>
  <si>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HF-sed</t>
    </r>
  </si>
  <si>
    <r>
      <t>OC</t>
    </r>
    <r>
      <rPr>
        <vertAlign val="subscript"/>
        <sz val="11"/>
        <color theme="1"/>
        <rFont val="Calibri"/>
        <family val="2"/>
        <scheme val="minor"/>
      </rPr>
      <t>FLF-sed</t>
    </r>
  </si>
  <si>
    <r>
      <t>OC</t>
    </r>
    <r>
      <rPr>
        <vertAlign val="subscript"/>
        <sz val="11"/>
        <color theme="1"/>
        <rFont val="Calibri"/>
        <family val="2"/>
        <scheme val="minor"/>
      </rPr>
      <t>OLF-sed</t>
    </r>
  </si>
  <si>
    <r>
      <t>OC</t>
    </r>
    <r>
      <rPr>
        <vertAlign val="subscript"/>
        <sz val="11"/>
        <color theme="1"/>
        <rFont val="Calibri"/>
        <family val="2"/>
        <scheme val="minor"/>
      </rPr>
      <t>HF-sed</t>
    </r>
  </si>
  <si>
    <r>
      <t>N</t>
    </r>
    <r>
      <rPr>
        <vertAlign val="subscript"/>
        <sz val="11"/>
        <color theme="1"/>
        <rFont val="Calibri"/>
        <family val="2"/>
        <scheme val="minor"/>
      </rPr>
      <t>FLF-sed</t>
    </r>
  </si>
  <si>
    <r>
      <t>N</t>
    </r>
    <r>
      <rPr>
        <vertAlign val="subscript"/>
        <sz val="11"/>
        <color theme="1"/>
        <rFont val="Calibri"/>
        <family val="2"/>
        <scheme val="minor"/>
      </rPr>
      <t>OLF-sed</t>
    </r>
  </si>
  <si>
    <r>
      <t>N</t>
    </r>
    <r>
      <rPr>
        <vertAlign val="subscript"/>
        <sz val="11"/>
        <color theme="1"/>
        <rFont val="Calibri"/>
        <family val="2"/>
        <scheme val="minor"/>
      </rPr>
      <t>HF-sed</t>
    </r>
  </si>
  <si>
    <t>OC of FLF fraction expressed as weight % of sediment</t>
  </si>
  <si>
    <t>OC of OLF fraction expressed as weight % of sediment</t>
  </si>
  <si>
    <t>OC of HF fraction expressed as weight % of sediment</t>
  </si>
  <si>
    <t>N of FLF fraction expressed as weight % of sediment</t>
  </si>
  <si>
    <t>N of OLF fraction expressed as weight % of sediment</t>
  </si>
  <si>
    <t>N of HF fraction expressed as weight % of sediment</t>
  </si>
  <si>
    <t>Density Fractionations</t>
  </si>
  <si>
    <t>NaCl-PP Extractions - OC extracted</t>
  </si>
  <si>
    <t>NaCl-whole OC</t>
  </si>
  <si>
    <t>PP-whole OC</t>
  </si>
  <si>
    <t>PP-AS OC</t>
  </si>
  <si>
    <t>PP-SPE OC</t>
  </si>
  <si>
    <t>PP &gt;1kD OC</t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</si>
  <si>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NaCl-whole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</si>
  <si>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NaCl-whole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</si>
  <si>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PP-SPE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</si>
  <si>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PP-1kD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</si>
  <si>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PP-SPE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</si>
  <si>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PP-1kD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</si>
  <si>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NaCl-whole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</si>
  <si>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PP-SPE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</si>
  <si>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PP-1kD</t>
    </r>
  </si>
  <si>
    <t>NaCl-PP Extractions, 14C Content of Extracted NOM</t>
  </si>
  <si>
    <r>
      <t>SUVA</t>
    </r>
    <r>
      <rPr>
        <b/>
        <vertAlign val="subscript"/>
        <sz val="11"/>
        <color theme="1"/>
        <rFont val="Calibri"/>
        <family val="2"/>
        <scheme val="minor"/>
      </rPr>
      <t>NaCl-whole</t>
    </r>
  </si>
  <si>
    <r>
      <t>SUVA</t>
    </r>
    <r>
      <rPr>
        <b/>
        <vertAlign val="subscript"/>
        <sz val="11"/>
        <color theme="1"/>
        <rFont val="Calibri"/>
        <family val="2"/>
        <scheme val="minor"/>
      </rPr>
      <t>PP-SPE</t>
    </r>
  </si>
  <si>
    <t>L/mg-m</t>
  </si>
  <si>
    <r>
      <t>NaCl-PP SUVA</t>
    </r>
    <r>
      <rPr>
        <b/>
        <vertAlign val="subscript"/>
        <sz val="14"/>
        <color theme="1"/>
        <rFont val="Calibri"/>
        <family val="2"/>
        <scheme val="minor"/>
      </rPr>
      <t>254</t>
    </r>
  </si>
  <si>
    <r>
      <t>SUVA, SUVA</t>
    </r>
    <r>
      <rPr>
        <vertAlign val="subscript"/>
        <sz val="11"/>
        <color theme="1"/>
        <rFont val="Calibri"/>
        <family val="2"/>
        <scheme val="minor"/>
      </rPr>
      <t>254</t>
    </r>
  </si>
  <si>
    <t>specific UV absorbance at 254 nm</t>
  </si>
  <si>
    <t>Other Notes</t>
  </si>
  <si>
    <t>2M KCl ext</t>
  </si>
  <si>
    <t>umol/g</t>
  </si>
  <si>
    <t>NH4</t>
  </si>
  <si>
    <t>particle size analysis</t>
  </si>
  <si>
    <t>% sand, silt, and clay (of &lt;2mm fraction) by modified pipet method in Na-hexametaphosphate according to Gee &amp; Or (2002).</t>
  </si>
  <si>
    <t>Gee, G. W. and D. Or (2002). 2.4 Particle-size analysis. Methods of soil analysis. Part 4-Physical Methods. J. H. Dane, and Topp, G.C. Madison, WI, USA, Soil Science Society of America: 255-293.</t>
  </si>
  <si>
    <t>Please see Fox et al., (2020) for details on sample collection, analysis, results and discussion.</t>
  </si>
  <si>
    <t>Samples names in Fox et al. (2020) are shortened to "MO" and "MC" instead of "MOP" and "MCC", respectively.</t>
  </si>
  <si>
    <t>Particle Size Analysis</t>
  </si>
  <si>
    <t>sand</t>
  </si>
  <si>
    <t>silt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</si>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</sst>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sz val="9"/>
      <name val="Geneva"/>
      <family val="2"/>
    </font>
    <font>
      <b/>
      <vertAlign val="subscript"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Fill="1" applyBorder="1"/>
    <xf numFmtId="0" fontId="0" fillId="0" borderId="0" xfId="0" quotePrefix="1" applyFill="1" applyBorder="1"/>
    <xf numFmtId="2" fontId="0" fillId="0" borderId="0" xfId="0" applyNumberFormat="1"/>
    <xf numFmtId="0" fontId="1" fillId="2" borderId="0" xfId="0" applyFont="1" applyFill="1" applyBorder="1"/>
    <xf numFmtId="0" fontId="0" fillId="2" borderId="0" xfId="0" applyFill="1"/>
    <xf numFmtId="2" fontId="0" fillId="2" borderId="0" xfId="0" applyNumberFormat="1" applyFill="1"/>
    <xf numFmtId="165" fontId="0" fillId="2" borderId="0" xfId="0" applyNumberFormat="1" applyFill="1"/>
    <xf numFmtId="11" fontId="0" fillId="2" borderId="0" xfId="0" applyNumberFormat="1" applyFill="1"/>
    <xf numFmtId="0" fontId="1" fillId="0" borderId="5" xfId="0" applyFont="1" applyBorder="1" applyAlignment="1">
      <alignment horizontal="center"/>
    </xf>
    <xf numFmtId="0" fontId="0" fillId="2" borderId="5" xfId="0" applyFill="1" applyBorder="1"/>
    <xf numFmtId="0" fontId="0" fillId="0" borderId="5" xfId="0" applyBorder="1"/>
    <xf numFmtId="0" fontId="0" fillId="0" borderId="0" xfId="0" applyBorder="1"/>
    <xf numFmtId="165" fontId="0" fillId="0" borderId="0" xfId="0" applyNumberFormat="1" applyBorder="1"/>
    <xf numFmtId="2" fontId="0" fillId="0" borderId="0" xfId="0" applyNumberFormat="1" applyBorder="1"/>
    <xf numFmtId="2" fontId="3" fillId="0" borderId="0" xfId="0" applyNumberFormat="1" applyFont="1" applyBorder="1"/>
    <xf numFmtId="164" fontId="0" fillId="0" borderId="0" xfId="0" applyNumberFormat="1" applyBorder="1"/>
    <xf numFmtId="1" fontId="0" fillId="0" borderId="0" xfId="0" applyNumberFormat="1" applyBorder="1"/>
    <xf numFmtId="11" fontId="0" fillId="0" borderId="0" xfId="0" applyNumberFormat="1" applyBorder="1"/>
    <xf numFmtId="166" fontId="0" fillId="0" borderId="0" xfId="0" applyNumberFormat="1" applyBorder="1"/>
    <xf numFmtId="164" fontId="3" fillId="0" borderId="0" xfId="0" applyNumberFormat="1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2" fontId="1" fillId="0" borderId="9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 wrapText="1"/>
    </xf>
    <xf numFmtId="0" fontId="1" fillId="0" borderId="0" xfId="0" applyFont="1"/>
    <xf numFmtId="0" fontId="2" fillId="0" borderId="2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4" fillId="0" borderId="0" xfId="0" applyFont="1"/>
    <xf numFmtId="167" fontId="0" fillId="0" borderId="0" xfId="0" applyNumberFormat="1" applyBorder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Font="1" applyFill="1" applyBorder="1" applyAlignment="1"/>
    <xf numFmtId="165" fontId="3" fillId="0" borderId="0" xfId="0" applyNumberFormat="1" applyFont="1" applyAlignment="1"/>
    <xf numFmtId="165" fontId="3" fillId="0" borderId="0" xfId="1" applyNumberFormat="1" applyFont="1" applyAlignment="1"/>
    <xf numFmtId="165" fontId="3" fillId="0" borderId="0" xfId="0" applyNumberFormat="1" applyFont="1" applyBorder="1" applyAlignment="1"/>
    <xf numFmtId="0" fontId="1" fillId="0" borderId="1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11" fontId="0" fillId="0" borderId="0" xfId="0" applyNumberFormat="1"/>
    <xf numFmtId="11" fontId="0" fillId="0" borderId="1" xfId="0" applyNumberFormat="1" applyBorder="1"/>
    <xf numFmtId="164" fontId="0" fillId="2" borderId="0" xfId="0" applyNumberFormat="1" applyFill="1"/>
    <xf numFmtId="166" fontId="0" fillId="2" borderId="0" xfId="0" applyNumberFormat="1" applyFill="1"/>
    <xf numFmtId="1" fontId="0" fillId="2" borderId="0" xfId="0" applyNumberFormat="1" applyFill="1"/>
    <xf numFmtId="0" fontId="2" fillId="0" borderId="3" xfId="0" applyFont="1" applyBorder="1" applyAlignment="1"/>
    <xf numFmtId="0" fontId="0" fillId="2" borderId="0" xfId="0" applyFill="1" applyBorder="1"/>
    <xf numFmtId="11" fontId="0" fillId="0" borderId="5" xfId="0" applyNumberForma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_Workbook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T64"/>
  <sheetViews>
    <sheetView tabSelected="1" topLeftCell="A49" zoomScaleNormal="100" workbookViewId="0">
      <pane xSplit="2" topLeftCell="CB1" activePane="topRight" state="frozen"/>
      <selection pane="topRight" activeCell="CP60" sqref="CP60"/>
    </sheetView>
  </sheetViews>
  <sheetFormatPr defaultRowHeight="14.6"/>
  <cols>
    <col min="2" max="2" width="12.53515625" bestFit="1" customWidth="1"/>
    <col min="3" max="3" width="7.69140625" bestFit="1" customWidth="1"/>
    <col min="4" max="4" width="10.15234375" bestFit="1" customWidth="1"/>
    <col min="5" max="5" width="7.84375" bestFit="1" customWidth="1"/>
    <col min="6" max="6" width="9" bestFit="1" customWidth="1"/>
    <col min="7" max="9" width="9" customWidth="1"/>
    <col min="10" max="15" width="7.3828125" customWidth="1"/>
    <col min="16" max="16" width="7.84375" bestFit="1" customWidth="1"/>
    <col min="17" max="17" width="7.3828125" customWidth="1"/>
    <col min="18" max="20" width="7.3828125" style="5" customWidth="1"/>
    <col min="21" max="21" width="8.15234375" bestFit="1" customWidth="1"/>
    <col min="22" max="26" width="7.53515625" customWidth="1"/>
    <col min="27" max="27" width="11" customWidth="1"/>
    <col min="28" max="28" width="9.15234375" customWidth="1"/>
    <col min="29" max="29" width="10.53515625" customWidth="1"/>
    <col min="30" max="43" width="10.3046875" customWidth="1"/>
    <col min="44" max="44" width="9.15234375" style="13" customWidth="1"/>
    <col min="45" max="59" width="9.15234375" customWidth="1"/>
    <col min="60" max="60" width="9.15234375" style="13" customWidth="1"/>
    <col min="61" max="74" width="9.15234375" customWidth="1"/>
    <col min="77" max="80" width="12.3046875" customWidth="1"/>
    <col min="81" max="101" width="10.3046875" style="14" customWidth="1"/>
    <col min="317" max="317" width="12" bestFit="1" customWidth="1"/>
  </cols>
  <sheetData>
    <row r="1" spans="1:358" s="1" customFormat="1" ht="21">
      <c r="E1" s="34"/>
      <c r="F1" s="65"/>
      <c r="G1" s="68" t="s">
        <v>358</v>
      </c>
      <c r="H1" s="69"/>
      <c r="I1" s="70"/>
      <c r="J1" s="68" t="s">
        <v>170</v>
      </c>
      <c r="K1" s="69"/>
      <c r="L1" s="69"/>
      <c r="M1" s="69"/>
      <c r="N1" s="69"/>
      <c r="O1" s="69"/>
      <c r="P1" s="70"/>
      <c r="Q1" s="68" t="s">
        <v>172</v>
      </c>
      <c r="R1" s="69"/>
      <c r="S1" s="69"/>
      <c r="T1" s="70"/>
      <c r="U1" s="68" t="s">
        <v>139</v>
      </c>
      <c r="V1" s="69"/>
      <c r="W1" s="69"/>
      <c r="X1" s="69"/>
      <c r="Y1" s="69"/>
      <c r="Z1" s="70"/>
      <c r="AA1" s="68" t="s">
        <v>107</v>
      </c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70"/>
      <c r="AS1" s="68" t="s">
        <v>121</v>
      </c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70"/>
      <c r="BI1" s="68" t="s">
        <v>123</v>
      </c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70"/>
      <c r="BW1" s="74" t="s">
        <v>350</v>
      </c>
      <c r="BX1" s="75"/>
      <c r="BY1" s="68" t="s">
        <v>327</v>
      </c>
      <c r="BZ1" s="69"/>
      <c r="CA1" s="69"/>
      <c r="CB1" s="69"/>
      <c r="CC1" s="70"/>
      <c r="CD1" s="68" t="s">
        <v>346</v>
      </c>
      <c r="CE1" s="70"/>
      <c r="CF1" s="68" t="s">
        <v>342</v>
      </c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70"/>
      <c r="CX1" s="69" t="s">
        <v>175</v>
      </c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70"/>
      <c r="FL1" s="71" t="s">
        <v>174</v>
      </c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2"/>
      <c r="GA1" s="72"/>
      <c r="GB1" s="72"/>
      <c r="GC1" s="72"/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  <c r="GW1" s="72"/>
      <c r="GX1" s="72"/>
      <c r="GY1" s="72"/>
      <c r="GZ1" s="72"/>
      <c r="HA1" s="72"/>
      <c r="HB1" s="72"/>
      <c r="HC1" s="72"/>
      <c r="HD1" s="72"/>
      <c r="HE1" s="72"/>
      <c r="HF1" s="72"/>
      <c r="HG1" s="72"/>
      <c r="HH1" s="72"/>
      <c r="HI1" s="72"/>
      <c r="HJ1" s="72"/>
      <c r="HK1" s="72"/>
      <c r="HL1" s="72"/>
      <c r="HM1" s="72"/>
      <c r="HN1" s="72"/>
      <c r="HO1" s="72"/>
      <c r="HP1" s="72"/>
      <c r="HQ1" s="72"/>
      <c r="HR1" s="72"/>
      <c r="HS1" s="72"/>
      <c r="HT1" s="72"/>
      <c r="HU1" s="72"/>
      <c r="HV1" s="72"/>
      <c r="HW1" s="72"/>
      <c r="HX1" s="72"/>
      <c r="HY1" s="73"/>
      <c r="HZ1" s="68" t="s">
        <v>242</v>
      </c>
      <c r="IA1" s="69"/>
      <c r="IB1" s="69"/>
      <c r="IC1" s="69"/>
      <c r="ID1" s="69"/>
      <c r="IE1" s="69"/>
      <c r="IF1" s="69"/>
      <c r="IG1" s="69"/>
      <c r="IH1" s="69"/>
      <c r="II1" s="69"/>
      <c r="IJ1" s="69"/>
      <c r="IK1" s="69"/>
      <c r="IL1" s="69"/>
      <c r="IM1" s="69"/>
      <c r="IN1" s="69"/>
      <c r="IO1" s="69"/>
      <c r="IP1" s="69"/>
      <c r="IQ1" s="69"/>
      <c r="IR1" s="69"/>
      <c r="IS1" s="69"/>
      <c r="IT1" s="69"/>
      <c r="IU1" s="69"/>
      <c r="IV1" s="69"/>
      <c r="IW1" s="69"/>
      <c r="IX1" s="69"/>
      <c r="IY1" s="69"/>
      <c r="IZ1" s="69"/>
      <c r="JA1" s="69"/>
      <c r="JB1" s="69"/>
      <c r="JC1" s="69"/>
      <c r="JD1" s="69"/>
      <c r="JE1" s="69"/>
      <c r="JF1" s="69"/>
      <c r="JG1" s="69"/>
      <c r="JH1" s="69"/>
      <c r="JI1" s="69"/>
      <c r="JJ1" s="69"/>
      <c r="JK1" s="69"/>
      <c r="JL1" s="69"/>
      <c r="JM1" s="69"/>
      <c r="JN1" s="69"/>
      <c r="JO1" s="69"/>
      <c r="JP1" s="69"/>
      <c r="JQ1" s="69"/>
      <c r="JR1" s="69"/>
      <c r="JS1" s="69"/>
      <c r="JT1" s="69"/>
      <c r="JU1" s="69"/>
      <c r="JV1" s="69"/>
      <c r="JW1" s="69"/>
      <c r="JX1" s="69"/>
      <c r="JY1" s="69"/>
      <c r="JZ1" s="69"/>
      <c r="KA1" s="69"/>
      <c r="KB1" s="69"/>
      <c r="KC1" s="69"/>
      <c r="KD1" s="69"/>
      <c r="KE1" s="69"/>
      <c r="KF1" s="69"/>
      <c r="KG1" s="69"/>
      <c r="KH1" s="69"/>
      <c r="KI1" s="69"/>
      <c r="KJ1" s="69"/>
      <c r="KK1" s="69"/>
      <c r="KL1" s="69"/>
      <c r="KM1" s="69"/>
      <c r="KN1" s="69"/>
      <c r="KO1" s="70"/>
      <c r="KP1" s="68" t="s">
        <v>326</v>
      </c>
      <c r="KQ1" s="69"/>
      <c r="KR1" s="69"/>
      <c r="KS1" s="69"/>
      <c r="KT1" s="69"/>
      <c r="KU1" s="69"/>
      <c r="KV1" s="69"/>
      <c r="KW1" s="69"/>
      <c r="KX1" s="69"/>
      <c r="KY1" s="69"/>
      <c r="KZ1" s="69"/>
      <c r="LA1" s="69"/>
      <c r="LB1" s="69"/>
      <c r="LC1" s="69"/>
      <c r="LD1" s="69"/>
      <c r="LE1" s="69"/>
      <c r="LF1" s="69"/>
      <c r="LG1" s="69"/>
      <c r="LH1" s="69"/>
      <c r="LI1" s="69"/>
      <c r="LJ1" s="69"/>
      <c r="LK1" s="69"/>
      <c r="LL1" s="69"/>
      <c r="LM1" s="69"/>
      <c r="LN1" s="69"/>
      <c r="LO1" s="69"/>
      <c r="LP1" s="69"/>
      <c r="LQ1" s="69"/>
      <c r="LR1" s="69"/>
      <c r="LS1" s="69"/>
      <c r="LT1" s="69"/>
      <c r="LU1" s="69"/>
      <c r="LV1" s="69"/>
      <c r="LW1" s="69"/>
      <c r="LX1" s="69"/>
      <c r="LY1" s="69"/>
      <c r="LZ1" s="69"/>
      <c r="MA1" s="69"/>
      <c r="MB1" s="69"/>
      <c r="MC1" s="69"/>
      <c r="MD1" s="69"/>
      <c r="ME1" s="69"/>
      <c r="MF1" s="69"/>
      <c r="MG1" s="69"/>
      <c r="MH1" s="69"/>
      <c r="MI1" s="69"/>
      <c r="MJ1" s="69"/>
      <c r="MK1" s="69"/>
      <c r="ML1" s="69"/>
      <c r="MM1" s="69"/>
      <c r="MN1" s="69"/>
      <c r="MO1" s="69"/>
      <c r="MP1" s="69"/>
      <c r="MQ1" s="69"/>
      <c r="MR1" s="69"/>
      <c r="MS1" s="69"/>
      <c r="MT1" s="70"/>
    </row>
    <row r="2" spans="1:358" s="2" customFormat="1">
      <c r="C2" s="2" t="s">
        <v>0</v>
      </c>
      <c r="D2" s="2" t="s">
        <v>0</v>
      </c>
      <c r="E2" s="2" t="s">
        <v>1</v>
      </c>
      <c r="F2" s="2" t="s">
        <v>1</v>
      </c>
      <c r="G2" s="53" t="s">
        <v>109</v>
      </c>
      <c r="H2" s="47" t="s">
        <v>109</v>
      </c>
      <c r="I2" s="11" t="s">
        <v>109</v>
      </c>
      <c r="J2" s="23" t="s">
        <v>109</v>
      </c>
      <c r="K2" s="24" t="s">
        <v>109</v>
      </c>
      <c r="L2" s="24" t="s">
        <v>109</v>
      </c>
      <c r="M2" s="24" t="s">
        <v>109</v>
      </c>
      <c r="N2" s="24" t="s">
        <v>110</v>
      </c>
      <c r="O2" s="24" t="s">
        <v>110</v>
      </c>
      <c r="P2" s="25" t="s">
        <v>1</v>
      </c>
      <c r="Q2" s="23" t="s">
        <v>109</v>
      </c>
      <c r="R2" s="30" t="s">
        <v>109</v>
      </c>
      <c r="S2" s="30" t="s">
        <v>109</v>
      </c>
      <c r="T2" s="31" t="s">
        <v>109</v>
      </c>
      <c r="U2" s="23"/>
      <c r="V2" s="24"/>
      <c r="W2" s="24" t="s">
        <v>110</v>
      </c>
      <c r="X2" s="24" t="s">
        <v>110</v>
      </c>
      <c r="Y2" s="24" t="s">
        <v>114</v>
      </c>
      <c r="Z2" s="25" t="s">
        <v>114</v>
      </c>
      <c r="AA2" s="2" t="s">
        <v>95</v>
      </c>
      <c r="AB2" s="2" t="s">
        <v>95</v>
      </c>
      <c r="AC2" s="2" t="s">
        <v>95</v>
      </c>
      <c r="AD2" s="2" t="s">
        <v>95</v>
      </c>
      <c r="AE2" s="2" t="s">
        <v>95</v>
      </c>
      <c r="AF2" s="2" t="s">
        <v>95</v>
      </c>
      <c r="AG2" s="2" t="s">
        <v>95</v>
      </c>
      <c r="AH2" s="2" t="s">
        <v>95</v>
      </c>
      <c r="AI2" s="2" t="s">
        <v>95</v>
      </c>
      <c r="AJ2" s="2" t="s">
        <v>95</v>
      </c>
      <c r="AK2" s="2" t="s">
        <v>95</v>
      </c>
      <c r="AL2" s="2" t="s">
        <v>95</v>
      </c>
      <c r="AM2" s="2" t="s">
        <v>95</v>
      </c>
      <c r="AN2" s="2" t="s">
        <v>95</v>
      </c>
      <c r="AO2" s="2" t="s">
        <v>95</v>
      </c>
      <c r="AP2" s="2" t="s">
        <v>95</v>
      </c>
      <c r="AQ2" s="2" t="s">
        <v>95</v>
      </c>
      <c r="AR2" s="11" t="s">
        <v>95</v>
      </c>
      <c r="AS2" s="2" t="s">
        <v>95</v>
      </c>
      <c r="AT2" s="2" t="s">
        <v>95</v>
      </c>
      <c r="AU2" s="2" t="s">
        <v>95</v>
      </c>
      <c r="AV2" s="2" t="s">
        <v>95</v>
      </c>
      <c r="AW2" s="2" t="s">
        <v>95</v>
      </c>
      <c r="AX2" s="2" t="s">
        <v>95</v>
      </c>
      <c r="AY2" s="2" t="s">
        <v>95</v>
      </c>
      <c r="AZ2" s="2" t="s">
        <v>95</v>
      </c>
      <c r="BA2" s="2" t="s">
        <v>95</v>
      </c>
      <c r="BB2" s="2" t="s">
        <v>95</v>
      </c>
      <c r="BC2" s="2" t="s">
        <v>95</v>
      </c>
      <c r="BD2" s="2" t="s">
        <v>95</v>
      </c>
      <c r="BE2" s="2" t="s">
        <v>95</v>
      </c>
      <c r="BF2" s="47" t="s">
        <v>95</v>
      </c>
      <c r="BG2" s="2" t="s">
        <v>95</v>
      </c>
      <c r="BH2" s="11" t="s">
        <v>95</v>
      </c>
      <c r="BI2" s="2" t="s">
        <v>95</v>
      </c>
      <c r="BJ2" s="2" t="s">
        <v>95</v>
      </c>
      <c r="BK2" s="2" t="s">
        <v>95</v>
      </c>
      <c r="BL2" s="2" t="s">
        <v>95</v>
      </c>
      <c r="BM2" s="2" t="s">
        <v>95</v>
      </c>
      <c r="BN2" s="2" t="s">
        <v>95</v>
      </c>
      <c r="BO2" s="2" t="s">
        <v>95</v>
      </c>
      <c r="BP2" s="2" t="s">
        <v>95</v>
      </c>
      <c r="BQ2" s="2" t="s">
        <v>95</v>
      </c>
      <c r="BR2" s="2" t="s">
        <v>95</v>
      </c>
      <c r="BS2" s="2" t="s">
        <v>95</v>
      </c>
      <c r="BT2" s="2" t="s">
        <v>95</v>
      </c>
      <c r="BU2" s="2" t="s">
        <v>95</v>
      </c>
      <c r="BV2" s="11" t="s">
        <v>95</v>
      </c>
      <c r="BW2" s="47" t="s">
        <v>351</v>
      </c>
      <c r="BX2" s="47" t="s">
        <v>351</v>
      </c>
      <c r="BY2" s="38" t="s">
        <v>95</v>
      </c>
      <c r="BZ2" s="39" t="s">
        <v>95</v>
      </c>
      <c r="CA2" s="39" t="s">
        <v>95</v>
      </c>
      <c r="CB2" s="39" t="s">
        <v>95</v>
      </c>
      <c r="CC2" s="40" t="s">
        <v>95</v>
      </c>
      <c r="CD2" s="55" t="s">
        <v>345</v>
      </c>
      <c r="CE2" s="55" t="s">
        <v>345</v>
      </c>
      <c r="CF2" s="57" t="s">
        <v>110</v>
      </c>
      <c r="CG2" s="56" t="s">
        <v>110</v>
      </c>
      <c r="CH2" s="56" t="s">
        <v>110</v>
      </c>
      <c r="CI2" s="56" t="s">
        <v>110</v>
      </c>
      <c r="CJ2" s="56" t="s">
        <v>110</v>
      </c>
      <c r="CK2" s="56" t="s">
        <v>110</v>
      </c>
      <c r="CL2" s="55"/>
      <c r="CM2" s="55"/>
      <c r="CN2" s="55"/>
      <c r="CO2" s="55"/>
      <c r="CP2" s="55"/>
      <c r="CQ2" s="55"/>
      <c r="CR2" s="55" t="s">
        <v>114</v>
      </c>
      <c r="CS2" s="55" t="s">
        <v>114</v>
      </c>
      <c r="CT2" s="55" t="s">
        <v>114</v>
      </c>
      <c r="CU2" s="55" t="s">
        <v>114</v>
      </c>
      <c r="CV2" s="55" t="s">
        <v>114</v>
      </c>
      <c r="CW2" s="58" t="s">
        <v>114</v>
      </c>
      <c r="CX2" s="2" t="s">
        <v>142</v>
      </c>
      <c r="CY2" s="2" t="s">
        <v>142</v>
      </c>
      <c r="CZ2" s="2" t="s">
        <v>142</v>
      </c>
      <c r="DA2" s="2" t="s">
        <v>142</v>
      </c>
      <c r="DB2" s="2" t="s">
        <v>142</v>
      </c>
      <c r="DC2" s="2" t="s">
        <v>142</v>
      </c>
      <c r="DD2" s="2" t="s">
        <v>142</v>
      </c>
      <c r="DE2" s="2" t="s">
        <v>142</v>
      </c>
      <c r="DF2" s="2" t="s">
        <v>142</v>
      </c>
      <c r="DG2" s="2" t="s">
        <v>142</v>
      </c>
      <c r="DH2" s="2" t="s">
        <v>142</v>
      </c>
      <c r="DI2" s="2" t="s">
        <v>142</v>
      </c>
      <c r="DJ2" s="2" t="s">
        <v>142</v>
      </c>
      <c r="DK2" s="2" t="s">
        <v>142</v>
      </c>
      <c r="DL2" s="2" t="s">
        <v>142</v>
      </c>
      <c r="DM2" s="2" t="s">
        <v>142</v>
      </c>
      <c r="DN2" s="2" t="s">
        <v>142</v>
      </c>
      <c r="DO2" s="2" t="s">
        <v>142</v>
      </c>
      <c r="DP2" s="2" t="s">
        <v>142</v>
      </c>
      <c r="DQ2" s="2" t="s">
        <v>142</v>
      </c>
      <c r="DR2" s="2" t="s">
        <v>142</v>
      </c>
      <c r="DS2" s="2" t="s">
        <v>142</v>
      </c>
      <c r="DT2" s="2" t="s">
        <v>142</v>
      </c>
      <c r="DU2" s="2" t="s">
        <v>142</v>
      </c>
      <c r="DV2" s="2" t="s">
        <v>142</v>
      </c>
      <c r="DW2" s="2" t="s">
        <v>142</v>
      </c>
      <c r="DX2" s="2" t="s">
        <v>142</v>
      </c>
      <c r="DY2" s="2" t="s">
        <v>142</v>
      </c>
      <c r="DZ2" s="2" t="s">
        <v>142</v>
      </c>
      <c r="EA2" s="2" t="s">
        <v>142</v>
      </c>
      <c r="EB2" s="2" t="s">
        <v>142</v>
      </c>
      <c r="EC2" s="2" t="s">
        <v>142</v>
      </c>
      <c r="ED2" s="2" t="s">
        <v>142</v>
      </c>
      <c r="EE2" s="2" t="s">
        <v>142</v>
      </c>
      <c r="EF2" s="2" t="s">
        <v>142</v>
      </c>
      <c r="EG2" s="2" t="s">
        <v>142</v>
      </c>
      <c r="EH2" s="2" t="s">
        <v>142</v>
      </c>
      <c r="EI2" s="2" t="s">
        <v>142</v>
      </c>
      <c r="EJ2" s="2" t="s">
        <v>142</v>
      </c>
      <c r="EK2" s="2" t="s">
        <v>142</v>
      </c>
      <c r="EL2" s="2" t="s">
        <v>142</v>
      </c>
      <c r="EM2" s="2" t="s">
        <v>142</v>
      </c>
      <c r="EN2" s="2" t="s">
        <v>142</v>
      </c>
      <c r="EO2" s="2" t="s">
        <v>142</v>
      </c>
      <c r="EP2" s="2" t="s">
        <v>142</v>
      </c>
      <c r="EQ2" s="2" t="s">
        <v>142</v>
      </c>
      <c r="ER2" s="2" t="s">
        <v>142</v>
      </c>
      <c r="ES2" s="2" t="s">
        <v>142</v>
      </c>
      <c r="ET2" s="2" t="s">
        <v>142</v>
      </c>
      <c r="EU2" s="2" t="s">
        <v>142</v>
      </c>
      <c r="EV2" s="2" t="s">
        <v>142</v>
      </c>
      <c r="EW2" s="2" t="s">
        <v>142</v>
      </c>
      <c r="EX2" s="2" t="s">
        <v>142</v>
      </c>
      <c r="EY2" s="2" t="s">
        <v>142</v>
      </c>
      <c r="EZ2" s="2" t="s">
        <v>142</v>
      </c>
      <c r="FA2" s="2" t="s">
        <v>142</v>
      </c>
      <c r="FB2" s="2" t="s">
        <v>142</v>
      </c>
      <c r="FC2" s="2" t="s">
        <v>142</v>
      </c>
      <c r="FD2" s="2" t="s">
        <v>142</v>
      </c>
      <c r="FE2" s="2" t="s">
        <v>142</v>
      </c>
      <c r="FF2" s="2" t="s">
        <v>142</v>
      </c>
      <c r="FG2" s="2" t="s">
        <v>142</v>
      </c>
      <c r="FH2" s="2" t="s">
        <v>142</v>
      </c>
      <c r="FI2" s="2" t="s">
        <v>142</v>
      </c>
      <c r="FJ2" s="2" t="s">
        <v>142</v>
      </c>
      <c r="FK2" s="2" t="s">
        <v>142</v>
      </c>
      <c r="FL2" s="23" t="s">
        <v>143</v>
      </c>
      <c r="FM2" s="24" t="s">
        <v>143</v>
      </c>
      <c r="FN2" s="24" t="s">
        <v>143</v>
      </c>
      <c r="FO2" s="24" t="s">
        <v>143</v>
      </c>
      <c r="FP2" s="24" t="s">
        <v>143</v>
      </c>
      <c r="FQ2" s="24" t="s">
        <v>143</v>
      </c>
      <c r="FR2" s="24" t="s">
        <v>143</v>
      </c>
      <c r="FS2" s="24" t="s">
        <v>143</v>
      </c>
      <c r="FT2" s="24" t="s">
        <v>143</v>
      </c>
      <c r="FU2" s="24" t="s">
        <v>143</v>
      </c>
      <c r="FV2" s="24" t="s">
        <v>143</v>
      </c>
      <c r="FW2" s="24" t="s">
        <v>143</v>
      </c>
      <c r="FX2" s="24" t="s">
        <v>143</v>
      </c>
      <c r="FY2" s="24" t="s">
        <v>143</v>
      </c>
      <c r="FZ2" s="24" t="s">
        <v>143</v>
      </c>
      <c r="GA2" s="24" t="s">
        <v>143</v>
      </c>
      <c r="GB2" s="24" t="s">
        <v>143</v>
      </c>
      <c r="GC2" s="24" t="s">
        <v>143</v>
      </c>
      <c r="GD2" s="24" t="s">
        <v>143</v>
      </c>
      <c r="GE2" s="24" t="s">
        <v>143</v>
      </c>
      <c r="GF2" s="24" t="s">
        <v>143</v>
      </c>
      <c r="GG2" s="24" t="s">
        <v>143</v>
      </c>
      <c r="GH2" s="24" t="s">
        <v>143</v>
      </c>
      <c r="GI2" s="24" t="s">
        <v>143</v>
      </c>
      <c r="GJ2" s="24" t="s">
        <v>143</v>
      </c>
      <c r="GK2" s="24" t="s">
        <v>143</v>
      </c>
      <c r="GL2" s="24" t="s">
        <v>143</v>
      </c>
      <c r="GM2" s="24" t="s">
        <v>143</v>
      </c>
      <c r="GN2" s="24" t="s">
        <v>143</v>
      </c>
      <c r="GO2" s="24" t="s">
        <v>143</v>
      </c>
      <c r="GP2" s="24" t="s">
        <v>143</v>
      </c>
      <c r="GQ2" s="24" t="s">
        <v>143</v>
      </c>
      <c r="GR2" s="24" t="s">
        <v>143</v>
      </c>
      <c r="GS2" s="24" t="s">
        <v>143</v>
      </c>
      <c r="GT2" s="24" t="s">
        <v>143</v>
      </c>
      <c r="GU2" s="24" t="s">
        <v>143</v>
      </c>
      <c r="GV2" s="24" t="s">
        <v>143</v>
      </c>
      <c r="GW2" s="24" t="s">
        <v>143</v>
      </c>
      <c r="GX2" s="24" t="s">
        <v>143</v>
      </c>
      <c r="GY2" s="24" t="s">
        <v>143</v>
      </c>
      <c r="GZ2" s="24" t="s">
        <v>143</v>
      </c>
      <c r="HA2" s="24" t="s">
        <v>143</v>
      </c>
      <c r="HB2" s="24" t="s">
        <v>143</v>
      </c>
      <c r="HC2" s="24" t="s">
        <v>143</v>
      </c>
      <c r="HD2" s="24" t="s">
        <v>143</v>
      </c>
      <c r="HE2" s="24" t="s">
        <v>143</v>
      </c>
      <c r="HF2" s="24" t="s">
        <v>143</v>
      </c>
      <c r="HG2" s="24" t="s">
        <v>143</v>
      </c>
      <c r="HH2" s="24" t="s">
        <v>143</v>
      </c>
      <c r="HI2" s="24" t="s">
        <v>143</v>
      </c>
      <c r="HJ2" s="24" t="s">
        <v>143</v>
      </c>
      <c r="HK2" s="24" t="s">
        <v>143</v>
      </c>
      <c r="HL2" s="24" t="s">
        <v>143</v>
      </c>
      <c r="HM2" s="24" t="s">
        <v>143</v>
      </c>
      <c r="HN2" s="24" t="s">
        <v>143</v>
      </c>
      <c r="HO2" s="24" t="s">
        <v>143</v>
      </c>
      <c r="HP2" s="24" t="s">
        <v>143</v>
      </c>
      <c r="HQ2" s="24" t="s">
        <v>143</v>
      </c>
      <c r="HR2" s="24" t="s">
        <v>143</v>
      </c>
      <c r="HS2" s="24" t="s">
        <v>143</v>
      </c>
      <c r="HT2" s="24" t="s">
        <v>143</v>
      </c>
      <c r="HU2" s="24" t="s">
        <v>143</v>
      </c>
      <c r="HV2" s="24" t="s">
        <v>143</v>
      </c>
      <c r="HW2" s="24" t="s">
        <v>143</v>
      </c>
      <c r="HX2" s="24" t="s">
        <v>143</v>
      </c>
      <c r="HY2" s="25" t="s">
        <v>143</v>
      </c>
      <c r="HZ2" s="23" t="s">
        <v>143</v>
      </c>
      <c r="IA2" s="24" t="s">
        <v>143</v>
      </c>
      <c r="IB2" s="24" t="s">
        <v>143</v>
      </c>
      <c r="IC2" s="24" t="s">
        <v>143</v>
      </c>
      <c r="ID2" s="24" t="s">
        <v>143</v>
      </c>
      <c r="IE2" s="24" t="s">
        <v>143</v>
      </c>
      <c r="IF2" s="24" t="s">
        <v>143</v>
      </c>
      <c r="IG2" s="24" t="s">
        <v>143</v>
      </c>
      <c r="IH2" s="24" t="s">
        <v>143</v>
      </c>
      <c r="II2" s="24" t="s">
        <v>143</v>
      </c>
      <c r="IJ2" s="24" t="s">
        <v>143</v>
      </c>
      <c r="IK2" s="24" t="s">
        <v>143</v>
      </c>
      <c r="IL2" s="24" t="s">
        <v>143</v>
      </c>
      <c r="IM2" s="24" t="s">
        <v>143</v>
      </c>
      <c r="IN2" s="24" t="s">
        <v>143</v>
      </c>
      <c r="IO2" s="24" t="s">
        <v>143</v>
      </c>
      <c r="IP2" s="24" t="s">
        <v>143</v>
      </c>
      <c r="IQ2" s="24" t="s">
        <v>143</v>
      </c>
      <c r="IR2" s="24" t="s">
        <v>143</v>
      </c>
      <c r="IS2" s="24" t="s">
        <v>143</v>
      </c>
      <c r="IT2" s="24" t="s">
        <v>143</v>
      </c>
      <c r="IU2" s="24" t="s">
        <v>143</v>
      </c>
      <c r="IV2" s="24" t="s">
        <v>143</v>
      </c>
      <c r="IW2" s="24" t="s">
        <v>143</v>
      </c>
      <c r="IX2" s="24" t="s">
        <v>143</v>
      </c>
      <c r="IY2" s="24" t="s">
        <v>143</v>
      </c>
      <c r="IZ2" s="24" t="s">
        <v>143</v>
      </c>
      <c r="JA2" s="24" t="s">
        <v>143</v>
      </c>
      <c r="JB2" s="24" t="s">
        <v>143</v>
      </c>
      <c r="JC2" s="24" t="s">
        <v>143</v>
      </c>
      <c r="JD2" s="24" t="s">
        <v>143</v>
      </c>
      <c r="JE2" s="24" t="s">
        <v>143</v>
      </c>
      <c r="JF2" s="24" t="s">
        <v>143</v>
      </c>
      <c r="JG2" s="24" t="s">
        <v>143</v>
      </c>
      <c r="JH2" s="24" t="s">
        <v>143</v>
      </c>
      <c r="JI2" s="24" t="s">
        <v>143</v>
      </c>
      <c r="JJ2" s="24" t="s">
        <v>143</v>
      </c>
      <c r="JK2" s="24" t="s">
        <v>143</v>
      </c>
      <c r="JL2" s="24" t="s">
        <v>143</v>
      </c>
      <c r="JM2" s="24" t="s">
        <v>143</v>
      </c>
      <c r="JN2" s="24" t="s">
        <v>143</v>
      </c>
      <c r="JO2" s="24" t="s">
        <v>143</v>
      </c>
      <c r="JP2" s="24" t="s">
        <v>143</v>
      </c>
      <c r="JQ2" s="24" t="s">
        <v>143</v>
      </c>
      <c r="JR2" s="24" t="s">
        <v>143</v>
      </c>
      <c r="JS2" s="24" t="s">
        <v>143</v>
      </c>
      <c r="JT2" s="24" t="s">
        <v>143</v>
      </c>
      <c r="JU2" s="24" t="s">
        <v>143</v>
      </c>
      <c r="JV2" s="24" t="s">
        <v>143</v>
      </c>
      <c r="JW2" s="24" t="s">
        <v>143</v>
      </c>
      <c r="JX2" s="24" t="s">
        <v>143</v>
      </c>
      <c r="JY2" s="24" t="s">
        <v>143</v>
      </c>
      <c r="JZ2" s="24" t="s">
        <v>143</v>
      </c>
      <c r="KA2" s="24" t="s">
        <v>143</v>
      </c>
      <c r="KB2" s="24" t="s">
        <v>143</v>
      </c>
      <c r="KC2" s="24" t="s">
        <v>143</v>
      </c>
      <c r="KD2" s="24" t="s">
        <v>143</v>
      </c>
      <c r="KE2" s="24" t="s">
        <v>143</v>
      </c>
      <c r="KF2" s="24" t="s">
        <v>143</v>
      </c>
      <c r="KG2" s="24" t="s">
        <v>143</v>
      </c>
      <c r="KH2" s="24" t="s">
        <v>143</v>
      </c>
      <c r="KI2" s="24" t="s">
        <v>143</v>
      </c>
      <c r="KJ2" s="24" t="s">
        <v>143</v>
      </c>
      <c r="KK2" s="24" t="s">
        <v>143</v>
      </c>
      <c r="KL2" s="24" t="s">
        <v>143</v>
      </c>
      <c r="KM2" s="24" t="s">
        <v>143</v>
      </c>
      <c r="KN2" s="24" t="s">
        <v>143</v>
      </c>
      <c r="KO2" s="25" t="s">
        <v>143</v>
      </c>
      <c r="KP2" s="53" t="s">
        <v>248</v>
      </c>
      <c r="KQ2" s="47" t="s">
        <v>248</v>
      </c>
      <c r="KR2" s="47" t="s">
        <v>248</v>
      </c>
      <c r="KS2" s="47" t="s">
        <v>109</v>
      </c>
      <c r="KT2" s="47" t="s">
        <v>109</v>
      </c>
      <c r="KU2" s="47" t="s">
        <v>109</v>
      </c>
      <c r="KV2" s="47" t="s">
        <v>109</v>
      </c>
      <c r="KW2" s="47" t="s">
        <v>109</v>
      </c>
      <c r="KX2" s="47" t="s">
        <v>109</v>
      </c>
      <c r="KY2" s="47" t="s">
        <v>109</v>
      </c>
      <c r="KZ2" s="47" t="s">
        <v>109</v>
      </c>
      <c r="LA2" s="47" t="s">
        <v>109</v>
      </c>
      <c r="LB2" s="47" t="s">
        <v>109</v>
      </c>
      <c r="LC2" s="47" t="s">
        <v>109</v>
      </c>
      <c r="LD2" s="47" t="s">
        <v>109</v>
      </c>
      <c r="LE2" s="47"/>
      <c r="LF2" s="47"/>
      <c r="LG2" s="47"/>
      <c r="LH2" s="47"/>
      <c r="LI2" s="47"/>
      <c r="LJ2" s="47"/>
      <c r="LK2" s="54" t="s">
        <v>110</v>
      </c>
      <c r="LL2" s="54" t="s">
        <v>110</v>
      </c>
      <c r="LM2" s="54" t="s">
        <v>110</v>
      </c>
      <c r="LN2" s="54" t="s">
        <v>110</v>
      </c>
      <c r="LO2" s="54" t="s">
        <v>110</v>
      </c>
      <c r="LP2" s="54" t="s">
        <v>110</v>
      </c>
      <c r="LQ2" s="54" t="s">
        <v>110</v>
      </c>
      <c r="LR2" s="54" t="s">
        <v>110</v>
      </c>
      <c r="LS2" s="54" t="s">
        <v>110</v>
      </c>
      <c r="LT2" s="54" t="s">
        <v>110</v>
      </c>
      <c r="LU2" s="54" t="s">
        <v>110</v>
      </c>
      <c r="LV2" s="54" t="s">
        <v>110</v>
      </c>
      <c r="LW2" s="47"/>
      <c r="LX2" s="47"/>
      <c r="LY2" s="47"/>
      <c r="LZ2" s="47"/>
      <c r="MA2" s="47"/>
      <c r="MB2" s="47"/>
      <c r="MC2" s="47" t="s">
        <v>114</v>
      </c>
      <c r="MD2" s="47" t="s">
        <v>114</v>
      </c>
      <c r="ME2" s="47" t="s">
        <v>114</v>
      </c>
      <c r="MF2" s="47" t="s">
        <v>114</v>
      </c>
      <c r="MG2" s="47" t="s">
        <v>114</v>
      </c>
      <c r="MH2" s="47" t="s">
        <v>114</v>
      </c>
      <c r="MI2" s="47" t="s">
        <v>109</v>
      </c>
      <c r="MJ2" s="47" t="s">
        <v>109</v>
      </c>
      <c r="MK2" s="47" t="s">
        <v>109</v>
      </c>
      <c r="ML2" s="47" t="s">
        <v>109</v>
      </c>
      <c r="MM2" s="47" t="s">
        <v>109</v>
      </c>
      <c r="MN2" s="47" t="s">
        <v>109</v>
      </c>
      <c r="MO2" s="47" t="s">
        <v>109</v>
      </c>
      <c r="MP2" s="47" t="s">
        <v>109</v>
      </c>
      <c r="MQ2" s="47" t="s">
        <v>109</v>
      </c>
      <c r="MR2" s="47" t="s">
        <v>109</v>
      </c>
      <c r="MS2" s="47" t="s">
        <v>109</v>
      </c>
      <c r="MT2" s="11" t="s">
        <v>109</v>
      </c>
    </row>
    <row r="3" spans="1:358" s="35" customFormat="1" ht="45.45" thickBot="1">
      <c r="A3" s="35" t="s">
        <v>243</v>
      </c>
      <c r="B3" s="28" t="s">
        <v>169</v>
      </c>
      <c r="C3" s="28" t="s">
        <v>3</v>
      </c>
      <c r="D3" s="28" t="s">
        <v>124</v>
      </c>
      <c r="E3" s="28" t="s">
        <v>4</v>
      </c>
      <c r="F3" s="28" t="s">
        <v>173</v>
      </c>
      <c r="G3" s="26" t="s">
        <v>359</v>
      </c>
      <c r="H3" s="28" t="s">
        <v>360</v>
      </c>
      <c r="I3" s="29" t="s">
        <v>361</v>
      </c>
      <c r="J3" s="26" t="s">
        <v>108</v>
      </c>
      <c r="K3" s="27" t="s">
        <v>96</v>
      </c>
      <c r="L3" s="28" t="s">
        <v>116</v>
      </c>
      <c r="M3" s="27" t="s">
        <v>96</v>
      </c>
      <c r="N3" s="28" t="s">
        <v>282</v>
      </c>
      <c r="O3" s="27" t="s">
        <v>96</v>
      </c>
      <c r="P3" s="29" t="s">
        <v>115</v>
      </c>
      <c r="Q3" s="26" t="s">
        <v>108</v>
      </c>
      <c r="R3" s="27" t="s">
        <v>96</v>
      </c>
      <c r="S3" s="27" t="s">
        <v>171</v>
      </c>
      <c r="T3" s="32" t="s">
        <v>96</v>
      </c>
      <c r="U3" s="26" t="s">
        <v>113</v>
      </c>
      <c r="V3" s="27" t="s">
        <v>96</v>
      </c>
      <c r="W3" s="28" t="s">
        <v>111</v>
      </c>
      <c r="X3" s="27" t="s">
        <v>96</v>
      </c>
      <c r="Y3" s="28" t="s">
        <v>112</v>
      </c>
      <c r="Z3" s="32" t="s">
        <v>96</v>
      </c>
      <c r="AA3" s="36" t="s">
        <v>140</v>
      </c>
      <c r="AB3" s="36" t="s">
        <v>96</v>
      </c>
      <c r="AC3" s="28" t="s">
        <v>141</v>
      </c>
      <c r="AD3" s="28" t="s">
        <v>96</v>
      </c>
      <c r="AE3" s="35" t="s">
        <v>97</v>
      </c>
      <c r="AF3" s="35" t="s">
        <v>96</v>
      </c>
      <c r="AG3" s="35" t="s">
        <v>98</v>
      </c>
      <c r="AH3" s="35" t="s">
        <v>96</v>
      </c>
      <c r="AI3" s="35" t="s">
        <v>99</v>
      </c>
      <c r="AJ3" s="35" t="s">
        <v>96</v>
      </c>
      <c r="AK3" s="35" t="s">
        <v>100</v>
      </c>
      <c r="AL3" s="35" t="s">
        <v>96</v>
      </c>
      <c r="AM3" s="35" t="s">
        <v>101</v>
      </c>
      <c r="AN3" s="35" t="s">
        <v>96</v>
      </c>
      <c r="AO3" s="35" t="s">
        <v>102</v>
      </c>
      <c r="AP3" s="35" t="s">
        <v>96</v>
      </c>
      <c r="AQ3" s="35" t="s">
        <v>284</v>
      </c>
      <c r="AR3" s="37" t="s">
        <v>96</v>
      </c>
      <c r="AS3" s="35" t="s">
        <v>97</v>
      </c>
      <c r="AT3" s="35" t="s">
        <v>96</v>
      </c>
      <c r="AU3" s="35" t="s">
        <v>98</v>
      </c>
      <c r="AV3" s="35" t="s">
        <v>96</v>
      </c>
      <c r="AW3" s="35" t="s">
        <v>99</v>
      </c>
      <c r="AX3" s="35" t="s">
        <v>96</v>
      </c>
      <c r="AY3" s="35" t="s">
        <v>122</v>
      </c>
      <c r="AZ3" s="35" t="s">
        <v>96</v>
      </c>
      <c r="BA3" s="35" t="s">
        <v>100</v>
      </c>
      <c r="BB3" s="35" t="s">
        <v>96</v>
      </c>
      <c r="BC3" s="35" t="s">
        <v>101</v>
      </c>
      <c r="BD3" s="35" t="s">
        <v>96</v>
      </c>
      <c r="BE3" s="35" t="s">
        <v>102</v>
      </c>
      <c r="BF3" s="35" t="s">
        <v>96</v>
      </c>
      <c r="BG3" s="35" t="s">
        <v>168</v>
      </c>
      <c r="BH3" s="37" t="s">
        <v>96</v>
      </c>
      <c r="BI3" s="35" t="s">
        <v>97</v>
      </c>
      <c r="BJ3" s="35" t="s">
        <v>96</v>
      </c>
      <c r="BK3" s="35" t="s">
        <v>98</v>
      </c>
      <c r="BL3" s="35" t="s">
        <v>96</v>
      </c>
      <c r="BM3" s="35" t="s">
        <v>99</v>
      </c>
      <c r="BN3" s="35" t="s">
        <v>96</v>
      </c>
      <c r="BO3" s="35" t="s">
        <v>122</v>
      </c>
      <c r="BP3" s="35" t="s">
        <v>96</v>
      </c>
      <c r="BQ3" s="35" t="s">
        <v>100</v>
      </c>
      <c r="BR3" s="35" t="s">
        <v>96</v>
      </c>
      <c r="BS3" s="35" t="s">
        <v>101</v>
      </c>
      <c r="BT3" s="35" t="s">
        <v>96</v>
      </c>
      <c r="BU3" s="35" t="s">
        <v>102</v>
      </c>
      <c r="BV3" s="37" t="s">
        <v>96</v>
      </c>
      <c r="BW3" s="59" t="s">
        <v>352</v>
      </c>
      <c r="BX3" s="59" t="s">
        <v>96</v>
      </c>
      <c r="BY3" s="26" t="s">
        <v>328</v>
      </c>
      <c r="BZ3" s="28" t="s">
        <v>329</v>
      </c>
      <c r="CA3" s="28" t="s">
        <v>330</v>
      </c>
      <c r="CB3" s="28" t="s">
        <v>331</v>
      </c>
      <c r="CC3" s="29" t="s">
        <v>332</v>
      </c>
      <c r="CD3" s="28" t="s">
        <v>343</v>
      </c>
      <c r="CE3" s="28" t="s">
        <v>344</v>
      </c>
      <c r="CF3" s="26" t="s">
        <v>333</v>
      </c>
      <c r="CG3" s="28" t="s">
        <v>96</v>
      </c>
      <c r="CH3" s="28" t="s">
        <v>335</v>
      </c>
      <c r="CI3" s="28" t="s">
        <v>96</v>
      </c>
      <c r="CJ3" s="28" t="s">
        <v>336</v>
      </c>
      <c r="CK3" s="28" t="s">
        <v>96</v>
      </c>
      <c r="CL3" s="28" t="s">
        <v>334</v>
      </c>
      <c r="CM3" s="28" t="s">
        <v>96</v>
      </c>
      <c r="CN3" s="28" t="s">
        <v>337</v>
      </c>
      <c r="CO3" s="28" t="s">
        <v>96</v>
      </c>
      <c r="CP3" s="28" t="s">
        <v>338</v>
      </c>
      <c r="CQ3" s="28" t="s">
        <v>96</v>
      </c>
      <c r="CR3" s="28" t="s">
        <v>339</v>
      </c>
      <c r="CS3" s="28" t="s">
        <v>96</v>
      </c>
      <c r="CT3" s="28" t="s">
        <v>340</v>
      </c>
      <c r="CU3" s="28" t="s">
        <v>96</v>
      </c>
      <c r="CV3" s="28" t="s">
        <v>341</v>
      </c>
      <c r="CW3" s="29" t="s">
        <v>96</v>
      </c>
      <c r="CX3" s="35" t="s">
        <v>144</v>
      </c>
      <c r="CY3" s="35" t="s">
        <v>96</v>
      </c>
      <c r="CZ3" s="35" t="s">
        <v>145</v>
      </c>
      <c r="DA3" s="35" t="s">
        <v>96</v>
      </c>
      <c r="DB3" s="35" t="s">
        <v>97</v>
      </c>
      <c r="DC3" s="35" t="s">
        <v>96</v>
      </c>
      <c r="DD3" s="35" t="s">
        <v>98</v>
      </c>
      <c r="DE3" s="35" t="s">
        <v>96</v>
      </c>
      <c r="DF3" s="35" t="s">
        <v>99</v>
      </c>
      <c r="DG3" s="35" t="s">
        <v>96</v>
      </c>
      <c r="DH3" s="35" t="s">
        <v>122</v>
      </c>
      <c r="DI3" s="35" t="s">
        <v>96</v>
      </c>
      <c r="DJ3" s="35" t="s">
        <v>147</v>
      </c>
      <c r="DK3" s="35" t="s">
        <v>96</v>
      </c>
      <c r="DL3" s="35" t="s">
        <v>148</v>
      </c>
      <c r="DM3" s="35" t="s">
        <v>96</v>
      </c>
      <c r="DN3" s="35" t="s">
        <v>100</v>
      </c>
      <c r="DO3" s="35" t="s">
        <v>96</v>
      </c>
      <c r="DP3" s="35" t="s">
        <v>101</v>
      </c>
      <c r="DQ3" s="35" t="s">
        <v>96</v>
      </c>
      <c r="DR3" s="35" t="s">
        <v>102</v>
      </c>
      <c r="DS3" s="35" t="s">
        <v>96</v>
      </c>
      <c r="DT3" s="35" t="s">
        <v>285</v>
      </c>
      <c r="DU3" s="35" t="s">
        <v>96</v>
      </c>
      <c r="DV3" s="35" t="s">
        <v>149</v>
      </c>
      <c r="DW3" s="35" t="s">
        <v>96</v>
      </c>
      <c r="DX3" s="35" t="s">
        <v>150</v>
      </c>
      <c r="DY3" s="35" t="s">
        <v>96</v>
      </c>
      <c r="DZ3" s="35" t="s">
        <v>151</v>
      </c>
      <c r="EA3" s="35" t="s">
        <v>96</v>
      </c>
      <c r="EB3" s="35" t="s">
        <v>152</v>
      </c>
      <c r="EC3" s="35" t="s">
        <v>96</v>
      </c>
      <c r="ED3" s="35" t="s">
        <v>153</v>
      </c>
      <c r="EE3" s="35" t="s">
        <v>96</v>
      </c>
      <c r="EF3" s="35" t="s">
        <v>155</v>
      </c>
      <c r="EG3" s="35" t="s">
        <v>96</v>
      </c>
      <c r="EH3" s="35" t="s">
        <v>156</v>
      </c>
      <c r="EI3" s="35" t="s">
        <v>96</v>
      </c>
      <c r="EJ3" s="35" t="s">
        <v>157</v>
      </c>
      <c r="EK3" s="35" t="s">
        <v>96</v>
      </c>
      <c r="EL3" s="35" t="s">
        <v>158</v>
      </c>
      <c r="EM3" s="35" t="s">
        <v>96</v>
      </c>
      <c r="EN3" s="35" t="s">
        <v>159</v>
      </c>
      <c r="EO3" s="35" t="s">
        <v>96</v>
      </c>
      <c r="EP3" s="35" t="s">
        <v>160</v>
      </c>
      <c r="EQ3" s="35" t="s">
        <v>96</v>
      </c>
      <c r="ER3" s="35" t="s">
        <v>161</v>
      </c>
      <c r="ES3" s="35" t="s">
        <v>96</v>
      </c>
      <c r="ET3" s="35" t="s">
        <v>162</v>
      </c>
      <c r="EU3" s="35" t="s">
        <v>96</v>
      </c>
      <c r="EV3" s="35" t="s">
        <v>163</v>
      </c>
      <c r="EW3" s="35" t="s">
        <v>96</v>
      </c>
      <c r="EX3" s="35" t="s">
        <v>164</v>
      </c>
      <c r="EY3" s="35" t="s">
        <v>96</v>
      </c>
      <c r="EZ3" s="35" t="s">
        <v>165</v>
      </c>
      <c r="FA3" s="35" t="s">
        <v>96</v>
      </c>
      <c r="FB3" s="35" t="s">
        <v>166</v>
      </c>
      <c r="FC3" s="35" t="s">
        <v>96</v>
      </c>
      <c r="FD3" s="35" t="s">
        <v>167</v>
      </c>
      <c r="FE3" s="35" t="s">
        <v>96</v>
      </c>
      <c r="FF3" s="35" t="s">
        <v>168</v>
      </c>
      <c r="FG3" s="35" t="s">
        <v>96</v>
      </c>
      <c r="FH3" s="35" t="s">
        <v>284</v>
      </c>
      <c r="FI3" s="35" t="s">
        <v>96</v>
      </c>
      <c r="FJ3" s="35" t="s">
        <v>154</v>
      </c>
      <c r="FK3" s="35" t="s">
        <v>96</v>
      </c>
      <c r="FL3" s="41" t="s">
        <v>144</v>
      </c>
      <c r="FM3" s="35" t="s">
        <v>96</v>
      </c>
      <c r="FN3" s="35" t="s">
        <v>145</v>
      </c>
      <c r="FO3" s="35" t="s">
        <v>96</v>
      </c>
      <c r="FP3" s="35" t="s">
        <v>97</v>
      </c>
      <c r="FQ3" s="35" t="s">
        <v>96</v>
      </c>
      <c r="FR3" s="35" t="s">
        <v>98</v>
      </c>
      <c r="FS3" s="35" t="s">
        <v>96</v>
      </c>
      <c r="FT3" s="35" t="s">
        <v>99</v>
      </c>
      <c r="FU3" s="35" t="s">
        <v>96</v>
      </c>
      <c r="FV3" s="35" t="s">
        <v>122</v>
      </c>
      <c r="FW3" s="35" t="s">
        <v>96</v>
      </c>
      <c r="FX3" s="35" t="s">
        <v>147</v>
      </c>
      <c r="FY3" s="35" t="s">
        <v>96</v>
      </c>
      <c r="FZ3" s="35" t="s">
        <v>148</v>
      </c>
      <c r="GA3" s="35" t="s">
        <v>96</v>
      </c>
      <c r="GB3" s="35" t="s">
        <v>100</v>
      </c>
      <c r="GC3" s="35" t="s">
        <v>96</v>
      </c>
      <c r="GD3" s="35" t="s">
        <v>101</v>
      </c>
      <c r="GE3" s="35" t="s">
        <v>96</v>
      </c>
      <c r="GF3" s="35" t="s">
        <v>102</v>
      </c>
      <c r="GG3" s="35" t="s">
        <v>96</v>
      </c>
      <c r="GH3" s="35" t="s">
        <v>285</v>
      </c>
      <c r="GI3" s="35" t="s">
        <v>96</v>
      </c>
      <c r="GJ3" s="35" t="s">
        <v>149</v>
      </c>
      <c r="GK3" s="35" t="s">
        <v>96</v>
      </c>
      <c r="GL3" s="35" t="s">
        <v>150</v>
      </c>
      <c r="GM3" s="35" t="s">
        <v>96</v>
      </c>
      <c r="GN3" s="35" t="s">
        <v>151</v>
      </c>
      <c r="GO3" s="35" t="s">
        <v>96</v>
      </c>
      <c r="GP3" s="35" t="s">
        <v>152</v>
      </c>
      <c r="GQ3" s="35" t="s">
        <v>96</v>
      </c>
      <c r="GR3" s="35" t="s">
        <v>153</v>
      </c>
      <c r="GS3" s="35" t="s">
        <v>96</v>
      </c>
      <c r="GT3" s="35" t="s">
        <v>155</v>
      </c>
      <c r="GU3" s="35" t="s">
        <v>96</v>
      </c>
      <c r="GV3" s="35" t="s">
        <v>156</v>
      </c>
      <c r="GW3" s="35" t="s">
        <v>96</v>
      </c>
      <c r="GX3" s="35" t="s">
        <v>157</v>
      </c>
      <c r="GY3" s="35" t="s">
        <v>96</v>
      </c>
      <c r="GZ3" s="35" t="s">
        <v>158</v>
      </c>
      <c r="HA3" s="35" t="s">
        <v>96</v>
      </c>
      <c r="HB3" s="35" t="s">
        <v>159</v>
      </c>
      <c r="HC3" s="35" t="s">
        <v>96</v>
      </c>
      <c r="HD3" s="35" t="s">
        <v>160</v>
      </c>
      <c r="HE3" s="35" t="s">
        <v>96</v>
      </c>
      <c r="HF3" s="35" t="s">
        <v>161</v>
      </c>
      <c r="HG3" s="35" t="s">
        <v>96</v>
      </c>
      <c r="HH3" s="35" t="s">
        <v>162</v>
      </c>
      <c r="HI3" s="35" t="s">
        <v>96</v>
      </c>
      <c r="HJ3" s="35" t="s">
        <v>163</v>
      </c>
      <c r="HK3" s="35" t="s">
        <v>96</v>
      </c>
      <c r="HL3" s="35" t="s">
        <v>164</v>
      </c>
      <c r="HM3" s="35" t="s">
        <v>96</v>
      </c>
      <c r="HN3" s="35" t="s">
        <v>165</v>
      </c>
      <c r="HO3" s="35" t="s">
        <v>96</v>
      </c>
      <c r="HP3" s="35" t="s">
        <v>166</v>
      </c>
      <c r="HQ3" s="35" t="s">
        <v>96</v>
      </c>
      <c r="HR3" s="35" t="s">
        <v>167</v>
      </c>
      <c r="HS3" s="35" t="s">
        <v>96</v>
      </c>
      <c r="HT3" s="35" t="s">
        <v>168</v>
      </c>
      <c r="HU3" s="35" t="s">
        <v>96</v>
      </c>
      <c r="HV3" s="35" t="s">
        <v>284</v>
      </c>
      <c r="HW3" s="35" t="s">
        <v>96</v>
      </c>
      <c r="HX3" s="35" t="s">
        <v>154</v>
      </c>
      <c r="HY3" s="37" t="s">
        <v>96</v>
      </c>
      <c r="HZ3" s="41" t="s">
        <v>144</v>
      </c>
      <c r="IA3" s="35" t="s">
        <v>96</v>
      </c>
      <c r="IB3" s="35" t="s">
        <v>145</v>
      </c>
      <c r="IC3" s="35" t="s">
        <v>96</v>
      </c>
      <c r="ID3" s="35" t="s">
        <v>146</v>
      </c>
      <c r="IE3" s="35" t="s">
        <v>96</v>
      </c>
      <c r="IF3" s="35" t="s">
        <v>97</v>
      </c>
      <c r="IG3" s="35" t="s">
        <v>96</v>
      </c>
      <c r="IH3" s="35" t="s">
        <v>98</v>
      </c>
      <c r="II3" s="35" t="s">
        <v>96</v>
      </c>
      <c r="IJ3" s="35" t="s">
        <v>99</v>
      </c>
      <c r="IK3" s="35" t="s">
        <v>96</v>
      </c>
      <c r="IL3" s="35" t="s">
        <v>122</v>
      </c>
      <c r="IM3" s="35" t="s">
        <v>96</v>
      </c>
      <c r="IN3" s="35" t="s">
        <v>147</v>
      </c>
      <c r="IO3" s="35" t="s">
        <v>96</v>
      </c>
      <c r="IP3" s="35" t="s">
        <v>148</v>
      </c>
      <c r="IQ3" s="35" t="s">
        <v>96</v>
      </c>
      <c r="IR3" s="35" t="s">
        <v>100</v>
      </c>
      <c r="IS3" s="35" t="s">
        <v>96</v>
      </c>
      <c r="IT3" s="35" t="s">
        <v>101</v>
      </c>
      <c r="IU3" s="35" t="s">
        <v>96</v>
      </c>
      <c r="IV3" s="35" t="s">
        <v>102</v>
      </c>
      <c r="IW3" s="35" t="s">
        <v>96</v>
      </c>
      <c r="IX3" s="35" t="s">
        <v>285</v>
      </c>
      <c r="IY3" s="35" t="s">
        <v>96</v>
      </c>
      <c r="IZ3" s="35" t="s">
        <v>149</v>
      </c>
      <c r="JA3" s="35" t="s">
        <v>96</v>
      </c>
      <c r="JB3" s="35" t="s">
        <v>150</v>
      </c>
      <c r="JC3" s="35" t="s">
        <v>96</v>
      </c>
      <c r="JD3" s="35" t="s">
        <v>151</v>
      </c>
      <c r="JE3" s="35" t="s">
        <v>96</v>
      </c>
      <c r="JF3" s="35" t="s">
        <v>152</v>
      </c>
      <c r="JG3" s="35" t="s">
        <v>96</v>
      </c>
      <c r="JH3" s="35" t="s">
        <v>153</v>
      </c>
      <c r="JI3" s="35" t="s">
        <v>96</v>
      </c>
      <c r="JJ3" s="35" t="s">
        <v>155</v>
      </c>
      <c r="JK3" s="35" t="s">
        <v>96</v>
      </c>
      <c r="JL3" s="35" t="s">
        <v>156</v>
      </c>
      <c r="JM3" s="35" t="s">
        <v>96</v>
      </c>
      <c r="JN3" s="35" t="s">
        <v>157</v>
      </c>
      <c r="JO3" s="35" t="s">
        <v>96</v>
      </c>
      <c r="JP3" s="35" t="s">
        <v>158</v>
      </c>
      <c r="JQ3" s="35" t="s">
        <v>96</v>
      </c>
      <c r="JR3" s="35" t="s">
        <v>159</v>
      </c>
      <c r="JS3" s="35" t="s">
        <v>96</v>
      </c>
      <c r="JT3" s="35" t="s">
        <v>160</v>
      </c>
      <c r="JU3" s="35" t="s">
        <v>96</v>
      </c>
      <c r="JV3" s="35" t="s">
        <v>161</v>
      </c>
      <c r="JW3" s="35" t="s">
        <v>96</v>
      </c>
      <c r="JX3" s="35" t="s">
        <v>162</v>
      </c>
      <c r="JY3" s="35" t="s">
        <v>96</v>
      </c>
      <c r="JZ3" s="35" t="s">
        <v>163</v>
      </c>
      <c r="KA3" s="35" t="s">
        <v>96</v>
      </c>
      <c r="KB3" s="35" t="s">
        <v>164</v>
      </c>
      <c r="KC3" s="35" t="s">
        <v>96</v>
      </c>
      <c r="KD3" s="35" t="s">
        <v>165</v>
      </c>
      <c r="KE3" s="35" t="s">
        <v>96</v>
      </c>
      <c r="KF3" s="35" t="s">
        <v>166</v>
      </c>
      <c r="KG3" s="35" t="s">
        <v>96</v>
      </c>
      <c r="KH3" s="35" t="s">
        <v>167</v>
      </c>
      <c r="KI3" s="35" t="s">
        <v>96</v>
      </c>
      <c r="KJ3" s="35" t="s">
        <v>168</v>
      </c>
      <c r="KK3" s="35" t="s">
        <v>96</v>
      </c>
      <c r="KL3" s="35" t="s">
        <v>284</v>
      </c>
      <c r="KM3" s="35" t="s">
        <v>96</v>
      </c>
      <c r="KN3" s="35" t="s">
        <v>154</v>
      </c>
      <c r="KO3" s="37" t="s">
        <v>96</v>
      </c>
      <c r="KP3" s="41" t="s">
        <v>245</v>
      </c>
      <c r="KQ3" s="35" t="s">
        <v>246</v>
      </c>
      <c r="KR3" s="35" t="s">
        <v>247</v>
      </c>
      <c r="KS3" s="35" t="s">
        <v>255</v>
      </c>
      <c r="KT3" s="35" t="s">
        <v>96</v>
      </c>
      <c r="KU3" s="35" t="s">
        <v>256</v>
      </c>
      <c r="KV3" s="35" t="s">
        <v>96</v>
      </c>
      <c r="KW3" s="35" t="s">
        <v>257</v>
      </c>
      <c r="KX3" s="35" t="s">
        <v>96</v>
      </c>
      <c r="KY3" s="35" t="s">
        <v>261</v>
      </c>
      <c r="KZ3" s="35" t="s">
        <v>96</v>
      </c>
      <c r="LA3" s="35" t="s">
        <v>262</v>
      </c>
      <c r="LB3" s="35" t="s">
        <v>96</v>
      </c>
      <c r="LC3" s="35" t="s">
        <v>263</v>
      </c>
      <c r="LD3" s="35" t="s">
        <v>96</v>
      </c>
      <c r="LE3" s="35" t="s">
        <v>273</v>
      </c>
      <c r="LF3" s="35" t="s">
        <v>96</v>
      </c>
      <c r="LG3" s="35" t="s">
        <v>274</v>
      </c>
      <c r="LH3" s="35" t="s">
        <v>96</v>
      </c>
      <c r="LI3" s="35" t="s">
        <v>275</v>
      </c>
      <c r="LJ3" s="35" t="s">
        <v>96</v>
      </c>
      <c r="LK3" s="35" t="s">
        <v>287</v>
      </c>
      <c r="LL3" s="35" t="s">
        <v>96</v>
      </c>
      <c r="LM3" s="35" t="s">
        <v>294</v>
      </c>
      <c r="LN3" s="35" t="s">
        <v>96</v>
      </c>
      <c r="LO3" s="35" t="s">
        <v>295</v>
      </c>
      <c r="LP3" s="35" t="s">
        <v>96</v>
      </c>
      <c r="LQ3" s="35" t="s">
        <v>296</v>
      </c>
      <c r="LR3" s="35" t="s">
        <v>96</v>
      </c>
      <c r="LS3" s="35" t="s">
        <v>297</v>
      </c>
      <c r="LT3" s="35" t="s">
        <v>96</v>
      </c>
      <c r="LU3" s="35" t="s">
        <v>298</v>
      </c>
      <c r="LV3" s="35" t="s">
        <v>96</v>
      </c>
      <c r="LW3" s="35" t="s">
        <v>299</v>
      </c>
      <c r="LX3" s="35" t="s">
        <v>96</v>
      </c>
      <c r="LY3" s="35" t="s">
        <v>300</v>
      </c>
      <c r="LZ3" s="35" t="s">
        <v>96</v>
      </c>
      <c r="MA3" s="35" t="s">
        <v>301</v>
      </c>
      <c r="MB3" s="35" t="s">
        <v>96</v>
      </c>
      <c r="MC3" s="35" t="s">
        <v>302</v>
      </c>
      <c r="MD3" s="35" t="s">
        <v>96</v>
      </c>
      <c r="ME3" s="35" t="s">
        <v>303</v>
      </c>
      <c r="MF3" s="35" t="s">
        <v>96</v>
      </c>
      <c r="MG3" s="35" t="s">
        <v>304</v>
      </c>
      <c r="MH3" s="35" t="s">
        <v>96</v>
      </c>
      <c r="MI3" s="35" t="s">
        <v>308</v>
      </c>
      <c r="MJ3" s="35" t="s">
        <v>96</v>
      </c>
      <c r="MK3" s="35" t="s">
        <v>309</v>
      </c>
      <c r="ML3" s="35" t="s">
        <v>96</v>
      </c>
      <c r="MM3" s="35" t="s">
        <v>310</v>
      </c>
      <c r="MN3" s="35" t="s">
        <v>96</v>
      </c>
      <c r="MO3" s="35" t="s">
        <v>311</v>
      </c>
      <c r="MP3" s="35" t="s">
        <v>96</v>
      </c>
      <c r="MQ3" s="35" t="s">
        <v>312</v>
      </c>
      <c r="MR3" s="35" t="s">
        <v>96</v>
      </c>
      <c r="MS3" s="35" t="s">
        <v>313</v>
      </c>
      <c r="MT3" s="37" t="s">
        <v>96</v>
      </c>
    </row>
    <row r="4" spans="1:358" s="14" customFormat="1">
      <c r="A4" s="14" t="s">
        <v>125</v>
      </c>
      <c r="B4" s="14" t="s">
        <v>5</v>
      </c>
      <c r="C4" s="14" t="s">
        <v>6</v>
      </c>
      <c r="D4" s="14">
        <v>7.5</v>
      </c>
      <c r="E4" s="16">
        <v>0.92917215841335599</v>
      </c>
      <c r="F4" s="18">
        <v>0.15476107993256188</v>
      </c>
      <c r="G4" s="18"/>
      <c r="H4" s="18"/>
      <c r="I4" s="18"/>
      <c r="Q4" s="16">
        <v>3.5330000000000004</v>
      </c>
      <c r="R4" s="16">
        <v>6.0216276869298473E-2</v>
      </c>
      <c r="S4" s="17">
        <v>1.0620000000000001</v>
      </c>
      <c r="T4" s="17">
        <v>5.9396969619670045E-2</v>
      </c>
      <c r="AA4" s="15">
        <v>4.6782065101897002E-2</v>
      </c>
      <c r="AB4" s="15">
        <v>1.9397936707791778E-3</v>
      </c>
      <c r="AC4" s="15">
        <v>7.1214625667263345E-2</v>
      </c>
      <c r="AD4" s="15">
        <v>3.1200857475840666E-3</v>
      </c>
      <c r="AE4" s="20">
        <v>0.10131295688976188</v>
      </c>
      <c r="AF4" s="20">
        <v>8.2120321865392239E-4</v>
      </c>
      <c r="AG4" s="20">
        <v>2.9372029269019419E-2</v>
      </c>
      <c r="AH4" s="20">
        <v>1.3887351178386723E-3</v>
      </c>
      <c r="AI4" s="20">
        <v>2.3105409207008487E-2</v>
      </c>
      <c r="AJ4" s="20">
        <v>5.9287871754752761E-4</v>
      </c>
      <c r="AK4" s="20">
        <v>4.9295338441745946E-3</v>
      </c>
      <c r="AL4" s="20">
        <v>2.1097615652129908E-5</v>
      </c>
      <c r="AM4" s="20">
        <v>0.8476580109560784</v>
      </c>
      <c r="AN4" s="20">
        <v>2.2196347562068227E-2</v>
      </c>
      <c r="AO4" s="20">
        <v>4.4469664481315507E-2</v>
      </c>
      <c r="AP4" s="20">
        <v>1.4925129461021032E-3</v>
      </c>
      <c r="AQ4" s="20">
        <v>4.511281449932146E-3</v>
      </c>
      <c r="AR4" s="20">
        <v>7.1010297070508275E-5</v>
      </c>
      <c r="AS4" s="20">
        <v>1.2369378282132849E-2</v>
      </c>
      <c r="AT4" s="20">
        <v>1.2402719888392386E-5</v>
      </c>
      <c r="AU4" s="20">
        <v>2.171486126494666E-2</v>
      </c>
      <c r="AV4" s="20">
        <v>7.3872292199617516E-5</v>
      </c>
      <c r="AW4" s="20">
        <v>2.830404314770435E-2</v>
      </c>
      <c r="AX4" s="20">
        <v>2.9838296966045763E-5</v>
      </c>
      <c r="AY4" s="20">
        <v>7.7844382889076785E-3</v>
      </c>
      <c r="AZ4" s="20">
        <v>1.7628501443117604E-5</v>
      </c>
      <c r="BA4" s="20">
        <v>4.1172829873124617E-3</v>
      </c>
      <c r="BB4" s="20">
        <v>4.734074198899554E-6</v>
      </c>
      <c r="BC4" s="20">
        <v>0.3356185873085229</v>
      </c>
      <c r="BD4" s="20">
        <v>1.9601020484644606E-4</v>
      </c>
      <c r="BE4" s="20">
        <v>0.20041825718104336</v>
      </c>
      <c r="BF4" s="20">
        <v>5.4719799810826035E-4</v>
      </c>
      <c r="BG4" s="20">
        <v>1.5129859176207278E-6</v>
      </c>
      <c r="BH4" s="67">
        <v>6.8858754957655272E-9</v>
      </c>
      <c r="BI4" s="20">
        <v>8.8192518495574038E-2</v>
      </c>
      <c r="BJ4" s="20">
        <v>1.517411762299168E-4</v>
      </c>
      <c r="BK4" s="20">
        <v>3.151747011203479E-2</v>
      </c>
      <c r="BL4" s="20">
        <v>2.1641058420495185E-5</v>
      </c>
      <c r="BM4" s="20">
        <v>9.5653829639726993E-3</v>
      </c>
      <c r="BN4" s="20">
        <v>3.5548974536295512E-4</v>
      </c>
      <c r="BO4" s="20" t="s">
        <v>134</v>
      </c>
      <c r="BP4" s="20" t="s">
        <v>135</v>
      </c>
      <c r="BQ4" s="20">
        <v>2.3025940471415999E-3</v>
      </c>
      <c r="BR4" s="20">
        <v>6.1780039656939062E-6</v>
      </c>
      <c r="BS4" s="20">
        <v>8.6154864354138474E-4</v>
      </c>
      <c r="BT4" s="20">
        <v>7.3587174483602641E-5</v>
      </c>
      <c r="BU4" s="20">
        <v>9.3606148405090059E-2</v>
      </c>
      <c r="BV4" s="20">
        <v>1.6262638247090903E-4</v>
      </c>
      <c r="BW4" s="60"/>
      <c r="BX4" s="60"/>
    </row>
    <row r="5" spans="1:358" s="14" customFormat="1">
      <c r="A5" s="14" t="s">
        <v>125</v>
      </c>
      <c r="B5" s="14" t="s">
        <v>7</v>
      </c>
      <c r="C5" s="14" t="s">
        <v>8</v>
      </c>
      <c r="D5" s="14">
        <v>22.5</v>
      </c>
      <c r="E5" s="16">
        <v>0.74377973187256741</v>
      </c>
      <c r="F5" s="18">
        <v>0.2534348047924363</v>
      </c>
      <c r="G5" s="18"/>
      <c r="H5" s="18"/>
      <c r="I5" s="18"/>
      <c r="J5" s="16">
        <v>3.3383771703334721</v>
      </c>
      <c r="K5" s="16">
        <v>3.9305710900403593E-2</v>
      </c>
      <c r="L5" s="18">
        <v>0.29383133642359671</v>
      </c>
      <c r="M5" s="18">
        <v>7.3434019280591714E-3</v>
      </c>
      <c r="N5" s="16">
        <v>-26.183025139999998</v>
      </c>
      <c r="O5" s="18">
        <v>2.4575581032949552E-2</v>
      </c>
      <c r="P5" s="21">
        <f>J5/L5</f>
        <v>11.361542342511624</v>
      </c>
      <c r="Q5" s="16">
        <v>3.4432999999999998</v>
      </c>
      <c r="R5" s="16">
        <v>1.6610839834276896E-2</v>
      </c>
      <c r="S5" s="16">
        <v>0.65169999999999995</v>
      </c>
      <c r="T5" s="16">
        <v>1.2162236636408613E-2</v>
      </c>
      <c r="U5" s="15">
        <v>0.76468759003816034</v>
      </c>
      <c r="V5" s="15">
        <v>2.4959003028338844E-3</v>
      </c>
      <c r="W5" s="21">
        <v>-241.48478382266291</v>
      </c>
      <c r="X5" s="21">
        <v>2.4959003028338844</v>
      </c>
      <c r="Y5" s="14">
        <v>2155</v>
      </c>
      <c r="Z5" s="14">
        <v>30</v>
      </c>
      <c r="AA5" s="15">
        <v>5.7225029725878458E-2</v>
      </c>
      <c r="AB5" s="15">
        <v>4.6387888927239577E-4</v>
      </c>
      <c r="AC5" s="15">
        <v>0.11398509379327838</v>
      </c>
      <c r="AD5" s="15">
        <v>2.9510044401943217E-3</v>
      </c>
      <c r="AE5" s="20">
        <v>0.10630288681964076</v>
      </c>
      <c r="AF5" s="20">
        <v>2.5154970573336237E-4</v>
      </c>
      <c r="AG5" s="20">
        <v>4.9415713356894618E-2</v>
      </c>
      <c r="AH5" s="20">
        <v>7.4125368000335472E-5</v>
      </c>
      <c r="AI5" s="20">
        <v>3.4015506784873237E-2</v>
      </c>
      <c r="AJ5" s="20">
        <v>1.8293714524763856E-5</v>
      </c>
      <c r="AK5" s="20">
        <v>5.3476315577457179E-3</v>
      </c>
      <c r="AL5" s="20">
        <v>5.5684600147734213E-5</v>
      </c>
      <c r="AM5" s="20">
        <v>0.53795309038903172</v>
      </c>
      <c r="AN5" s="20">
        <v>1.2395821490465232E-2</v>
      </c>
      <c r="AO5" s="20">
        <v>7.8398455950953128E-2</v>
      </c>
      <c r="AP5" s="20">
        <v>1.1828099865176128E-3</v>
      </c>
      <c r="AQ5" s="20">
        <v>8.2715141195771145E-3</v>
      </c>
      <c r="AR5" s="20">
        <v>6.3480779856146656E-5</v>
      </c>
      <c r="AS5" s="20">
        <v>1.1597096790411184E-2</v>
      </c>
      <c r="AT5" s="20">
        <v>5.9950543187284398E-5</v>
      </c>
      <c r="AU5" s="20">
        <v>2.4448065895509005E-2</v>
      </c>
      <c r="AV5" s="20">
        <v>9.0866947693051605E-5</v>
      </c>
      <c r="AW5" s="20">
        <v>2.6450141655649396E-2</v>
      </c>
      <c r="AX5" s="20">
        <v>5.6105348094665877E-5</v>
      </c>
      <c r="AY5" s="20">
        <v>4.9071978756660894E-3</v>
      </c>
      <c r="AZ5" s="20">
        <v>2.5308616375489212E-5</v>
      </c>
      <c r="BA5" s="20">
        <v>4.4964765159068373E-3</v>
      </c>
      <c r="BB5" s="20">
        <v>4.9285192938097812E-6</v>
      </c>
      <c r="BC5" s="20">
        <v>0.26841632232468421</v>
      </c>
      <c r="BD5" s="20">
        <v>2.787090683526885E-4</v>
      </c>
      <c r="BE5" s="20">
        <v>0.22693948657066076</v>
      </c>
      <c r="BF5" s="20">
        <v>5.8345862135593396E-4</v>
      </c>
      <c r="BG5" s="20">
        <v>1.9246669078817917E-6</v>
      </c>
      <c r="BH5" s="67">
        <v>8.7485843881394834E-9</v>
      </c>
      <c r="BI5" s="20">
        <v>6.8113066385820695E-2</v>
      </c>
      <c r="BJ5" s="20">
        <v>4.1893220710428566E-4</v>
      </c>
      <c r="BK5" s="20">
        <v>2.8034345548407103E-2</v>
      </c>
      <c r="BL5" s="20">
        <v>2.9683250203451813E-6</v>
      </c>
      <c r="BM5" s="20">
        <v>3.4483035939593507E-3</v>
      </c>
      <c r="BN5" s="20">
        <v>2.7432061532404678E-5</v>
      </c>
      <c r="BO5" s="20" t="s">
        <v>134</v>
      </c>
      <c r="BP5" s="20" t="s">
        <v>135</v>
      </c>
      <c r="BQ5" s="20">
        <v>3.2751863610207773E-3</v>
      </c>
      <c r="BR5" s="20">
        <v>8.9213746713214608E-6</v>
      </c>
      <c r="BS5" s="20" t="s">
        <v>134</v>
      </c>
      <c r="BT5" s="20" t="s">
        <v>135</v>
      </c>
      <c r="BU5" s="20">
        <v>9.0695847213573808E-2</v>
      </c>
      <c r="BV5" s="20">
        <v>1.3906501853794631E-3</v>
      </c>
      <c r="BW5" s="18">
        <v>3.54889322406855</v>
      </c>
      <c r="BX5" s="18">
        <v>4.9566839946526831E-2</v>
      </c>
      <c r="BY5" s="15">
        <v>1.7202666670989651E-2</v>
      </c>
      <c r="BZ5" s="18">
        <v>0.27849404505746195</v>
      </c>
      <c r="CA5" s="18">
        <v>0.15912796106639121</v>
      </c>
      <c r="CB5" s="22" t="s">
        <v>136</v>
      </c>
      <c r="CC5" s="15">
        <v>9.4458915941395286E-2</v>
      </c>
      <c r="CD5" s="16">
        <v>1.8698426901303336</v>
      </c>
      <c r="CE5" s="16">
        <v>6.4121919439949862</v>
      </c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20">
        <v>4.7538767364930281E-10</v>
      </c>
      <c r="CY5" s="20">
        <v>2.3346305624252682E-10</v>
      </c>
      <c r="CZ5" s="20">
        <v>-1.432234510364485E-7</v>
      </c>
      <c r="DA5" s="20">
        <v>3.1354330906015216E-8</v>
      </c>
      <c r="DB5" s="20">
        <v>6.2954970326909342E-7</v>
      </c>
      <c r="DC5" s="20">
        <v>7.1050507377998067E-9</v>
      </c>
      <c r="DD5" s="20">
        <v>1.0609354737347707E-8</v>
      </c>
      <c r="DE5" s="20">
        <v>1.1375792150126092E-9</v>
      </c>
      <c r="DF5" s="20">
        <v>2.4248360973453607E-7</v>
      </c>
      <c r="DG5" s="20">
        <v>1.3046149004017999E-8</v>
      </c>
      <c r="DH5" s="20">
        <v>6.6880352624963346E-7</v>
      </c>
      <c r="DI5" s="20">
        <v>1.4136123839119072E-8</v>
      </c>
      <c r="DJ5" s="20">
        <v>1.1436102829836757E-10</v>
      </c>
      <c r="DK5" s="20">
        <v>3.4218437164611458E-12</v>
      </c>
      <c r="DL5" s="20" t="s">
        <v>134</v>
      </c>
      <c r="DM5" s="20" t="s">
        <v>134</v>
      </c>
      <c r="DN5" s="20">
        <v>2.4262615438933522E-8</v>
      </c>
      <c r="DO5" s="20">
        <v>4.8935110220453912E-10</v>
      </c>
      <c r="DP5" s="20">
        <v>7.5298774790655822E-6</v>
      </c>
      <c r="DQ5" s="20">
        <v>9.3593827272168672E-8</v>
      </c>
      <c r="DR5" s="20">
        <v>2.7072863414137069E-8</v>
      </c>
      <c r="DS5" s="20">
        <v>1.7879320021248724E-10</v>
      </c>
      <c r="DT5" s="20" t="s">
        <v>134</v>
      </c>
      <c r="DU5" s="20" t="s">
        <v>134</v>
      </c>
      <c r="DV5" s="20" t="s">
        <v>134</v>
      </c>
      <c r="DW5" s="20" t="s">
        <v>134</v>
      </c>
      <c r="DX5" s="20">
        <v>6.5317963684903471E-10</v>
      </c>
      <c r="DY5" s="20">
        <v>2.2401257061654708E-11</v>
      </c>
      <c r="DZ5" s="20" t="s">
        <v>134</v>
      </c>
      <c r="EA5" s="20" t="s">
        <v>134</v>
      </c>
      <c r="EB5" s="20">
        <v>2.4899374128486943E-11</v>
      </c>
      <c r="EC5" s="20">
        <v>7.5138959330768445E-12</v>
      </c>
      <c r="ED5" s="20">
        <v>3.0316943357114563E-9</v>
      </c>
      <c r="EE5" s="20">
        <v>3.9671452168665347E-11</v>
      </c>
      <c r="EF5" s="20">
        <v>4.3449405072193547E-11</v>
      </c>
      <c r="EG5" s="20">
        <v>8.8656885597476714E-13</v>
      </c>
      <c r="EH5" s="20">
        <v>1.4937987426764005E-8</v>
      </c>
      <c r="EI5" s="20">
        <v>2.3416384236564271E-10</v>
      </c>
      <c r="EJ5" s="20" t="s">
        <v>134</v>
      </c>
      <c r="EK5" s="20" t="s">
        <v>134</v>
      </c>
      <c r="EL5" s="20">
        <v>2.0239491583880233E-9</v>
      </c>
      <c r="EM5" s="20">
        <v>3.8302181733421931E-11</v>
      </c>
      <c r="EN5" s="20" t="s">
        <v>134</v>
      </c>
      <c r="EO5" s="20" t="s">
        <v>134</v>
      </c>
      <c r="EP5" s="20" t="s">
        <v>134</v>
      </c>
      <c r="EQ5" s="20" t="s">
        <v>134</v>
      </c>
      <c r="ER5" s="20" t="s">
        <v>134</v>
      </c>
      <c r="ES5" s="20" t="s">
        <v>134</v>
      </c>
      <c r="ET5" s="20" t="s">
        <v>134</v>
      </c>
      <c r="EU5" s="20" t="s">
        <v>134</v>
      </c>
      <c r="EV5" s="20">
        <v>1.5133865935081382E-11</v>
      </c>
      <c r="EW5" s="20">
        <v>3.8105931760832193E-13</v>
      </c>
      <c r="EX5" s="20">
        <v>4.3864616466433502E-9</v>
      </c>
      <c r="EY5" s="20">
        <v>2.5510629093325175E-11</v>
      </c>
      <c r="EZ5" s="20" t="s">
        <v>134</v>
      </c>
      <c r="FA5" s="20" t="s">
        <v>134</v>
      </c>
      <c r="FB5" s="20">
        <v>5.4331859188162853E-11</v>
      </c>
      <c r="FC5" s="20">
        <v>2.9638771646776229E-12</v>
      </c>
      <c r="FD5" s="20" t="s">
        <v>134</v>
      </c>
      <c r="FE5" s="20" t="s">
        <v>134</v>
      </c>
      <c r="FF5" s="20">
        <v>1.7087793703443553E-10</v>
      </c>
      <c r="FG5" s="20">
        <v>2.3346779553002877E-12</v>
      </c>
      <c r="FH5" s="20">
        <v>2.6439745577600007E-8</v>
      </c>
      <c r="FI5" s="20">
        <v>1.0273241737425697E-9</v>
      </c>
      <c r="FJ5" s="20">
        <v>5.8382530670163709E-10</v>
      </c>
      <c r="FK5" s="20">
        <v>6.4802925971840744E-12</v>
      </c>
      <c r="FL5" s="20">
        <v>3.1660175274744203E-4</v>
      </c>
      <c r="FM5" s="20">
        <v>6.1071285514377715E-6</v>
      </c>
      <c r="FN5" s="20">
        <v>0.11822719957064692</v>
      </c>
      <c r="FO5" s="20">
        <v>1.0122681465568808E-3</v>
      </c>
      <c r="FP5" s="20">
        <v>3.6672790549099964E-2</v>
      </c>
      <c r="FQ5" s="20">
        <v>4.1290787867665212E-4</v>
      </c>
      <c r="FR5" s="20">
        <v>3.5801012170535509E-3</v>
      </c>
      <c r="FS5" s="20">
        <v>2.2525737153355008E-5</v>
      </c>
      <c r="FT5" s="20">
        <v>4.6696324220459023E-2</v>
      </c>
      <c r="FU5" s="20">
        <v>5.8544017545678615E-4</v>
      </c>
      <c r="FV5" s="20">
        <v>4.1954564266257495E-2</v>
      </c>
      <c r="FW5" s="20">
        <v>8.2010419311946703E-4</v>
      </c>
      <c r="FX5" s="20">
        <v>6.6478663154721516E-6</v>
      </c>
      <c r="FY5" s="20">
        <v>1.9891356275778437E-7</v>
      </c>
      <c r="FZ5" s="20" t="s">
        <v>134</v>
      </c>
      <c r="GA5" s="20" t="s">
        <v>134</v>
      </c>
      <c r="GB5" s="20">
        <v>1.410398509892055E-3</v>
      </c>
      <c r="GC5" s="20">
        <v>2.8446235200835132E-5</v>
      </c>
      <c r="GD5" s="20">
        <v>0.43861413376159847</v>
      </c>
      <c r="GE5" s="20">
        <v>5.4406072278686286E-3</v>
      </c>
      <c r="GF5" s="20">
        <v>1.5737596927220816E-3</v>
      </c>
      <c r="GG5" s="20">
        <v>1.0393342127241338E-5</v>
      </c>
      <c r="GH5" s="20" t="s">
        <v>134</v>
      </c>
      <c r="GI5" s="20" t="s">
        <v>134</v>
      </c>
      <c r="GJ5" s="20" t="s">
        <v>134</v>
      </c>
      <c r="GK5" s="20" t="s">
        <v>134</v>
      </c>
      <c r="GL5" s="20">
        <v>3.796967350129199E-5</v>
      </c>
      <c r="GM5" s="20">
        <v>1.3021967750751046E-6</v>
      </c>
      <c r="GN5" s="20" t="s">
        <v>134</v>
      </c>
      <c r="GO5" s="20" t="s">
        <v>134</v>
      </c>
      <c r="GP5" s="20">
        <v>2.0932997545678038E-5</v>
      </c>
      <c r="GQ5" s="20">
        <v>3.8098273300608914E-7</v>
      </c>
      <c r="GR5" s="20">
        <v>2.222193697454902E-4</v>
      </c>
      <c r="GS5" s="20">
        <v>1.6827465475350345E-6</v>
      </c>
      <c r="GT5" s="20">
        <v>2.5257366141649451E-6</v>
      </c>
      <c r="GU5" s="20">
        <v>5.1536710728102706E-8</v>
      </c>
      <c r="GV5" s="20">
        <v>8.6835301249865108E-4</v>
      </c>
      <c r="GW5" s="20">
        <v>1.361206648039827E-5</v>
      </c>
      <c r="GX5" s="20" t="s">
        <v>134</v>
      </c>
      <c r="GY5" s="20" t="s">
        <v>134</v>
      </c>
      <c r="GZ5" s="20">
        <v>1.1765322185781721E-4</v>
      </c>
      <c r="HA5" s="20">
        <v>2.2265258326497847E-6</v>
      </c>
      <c r="HB5" s="20" t="s">
        <v>134</v>
      </c>
      <c r="HC5" s="20" t="s">
        <v>134</v>
      </c>
      <c r="HD5" s="20" t="s">
        <v>134</v>
      </c>
      <c r="HE5" s="20" t="s">
        <v>134</v>
      </c>
      <c r="HF5" s="20" t="s">
        <v>134</v>
      </c>
      <c r="HG5" s="20" t="s">
        <v>134</v>
      </c>
      <c r="HH5" s="20" t="s">
        <v>134</v>
      </c>
      <c r="HI5" s="20" t="s">
        <v>134</v>
      </c>
      <c r="HJ5" s="20">
        <v>8.7973953251113871E-7</v>
      </c>
      <c r="HK5" s="20">
        <v>2.2151177192250973E-8</v>
      </c>
      <c r="HL5" s="20">
        <v>2.6915714777374616E-4</v>
      </c>
      <c r="HM5" s="20">
        <v>1.4625986158668289E-6</v>
      </c>
      <c r="HN5" s="20" t="s">
        <v>134</v>
      </c>
      <c r="HO5" s="20" t="s">
        <v>134</v>
      </c>
      <c r="HP5" s="20">
        <v>8.9541383966455089E-6</v>
      </c>
      <c r="HQ5" s="20">
        <v>1.5155310253516223E-7</v>
      </c>
      <c r="HR5" s="20" t="s">
        <v>134</v>
      </c>
      <c r="HS5" s="20" t="s">
        <v>134</v>
      </c>
      <c r="HT5" s="20">
        <v>9.9332237438862788E-6</v>
      </c>
      <c r="HU5" s="20">
        <v>1.3571604914239591E-7</v>
      </c>
      <c r="HV5" s="20">
        <v>2.3276137114442244E-3</v>
      </c>
      <c r="HW5" s="20">
        <v>4.7412135867085756E-5</v>
      </c>
      <c r="HX5" s="20">
        <v>3.3938070060160634E-5</v>
      </c>
      <c r="HY5" s="20">
        <v>3.7670279388208772E-7</v>
      </c>
      <c r="HZ5" s="20" t="s">
        <v>134</v>
      </c>
      <c r="IA5" s="20" t="s">
        <v>134</v>
      </c>
      <c r="IB5" s="20">
        <v>1.0976720346450051</v>
      </c>
      <c r="IC5" s="20">
        <v>1.0260665973569196E-2</v>
      </c>
      <c r="ID5" s="20">
        <v>17.637866818918813</v>
      </c>
      <c r="IE5" s="20">
        <v>0.2213896633455304</v>
      </c>
      <c r="IF5" s="20">
        <v>0.11001456477845011</v>
      </c>
      <c r="IG5" s="20">
        <v>7.5660889365841604E-3</v>
      </c>
      <c r="IH5" s="20">
        <v>0.23375705095992053</v>
      </c>
      <c r="II5" s="20">
        <v>1.5486080494555479E-2</v>
      </c>
      <c r="IJ5" s="20">
        <v>0.80029556165058069</v>
      </c>
      <c r="IK5" s="20">
        <v>4.6222882855181419E-2</v>
      </c>
      <c r="IL5" s="20">
        <v>7.1565576974921871E-2</v>
      </c>
      <c r="IM5" s="20">
        <v>9.4938261923613442E-3</v>
      </c>
      <c r="IN5" s="20">
        <v>4.2762194752152902E-3</v>
      </c>
      <c r="IO5" s="20">
        <v>7.1817134137180103E-4</v>
      </c>
      <c r="IP5" s="20">
        <v>2.2473894127282408E-2</v>
      </c>
      <c r="IQ5" s="20">
        <v>9.8525871750946084E-4</v>
      </c>
      <c r="IR5" s="20">
        <v>1.5262999041954002E-2</v>
      </c>
      <c r="IS5" s="20">
        <v>8.7911741790766909E-4</v>
      </c>
      <c r="IT5" s="20">
        <v>1.5379015187187217</v>
      </c>
      <c r="IU5" s="20">
        <v>2.7034927699043948E-2</v>
      </c>
      <c r="IV5" s="20">
        <v>0.89868420220373546</v>
      </c>
      <c r="IW5" s="20">
        <v>1.2014666909613916E-2</v>
      </c>
      <c r="IX5" s="20">
        <v>5.3722937496747468E-2</v>
      </c>
      <c r="IY5" s="20">
        <v>9.1520853591431552E-3</v>
      </c>
      <c r="IZ5" s="20">
        <v>9.7524721793124075E-2</v>
      </c>
      <c r="JA5" s="20">
        <v>2.4361028346427099E-3</v>
      </c>
      <c r="JB5" s="20">
        <v>4.3177567347905996E-2</v>
      </c>
      <c r="JC5" s="20">
        <v>1.6759181353088572E-3</v>
      </c>
      <c r="JD5" s="20">
        <v>1.5631129827246345E-3</v>
      </c>
      <c r="JE5" s="20">
        <v>8.5318164744615577E-4</v>
      </c>
      <c r="JF5" s="20">
        <v>2.1266652506990738E-2</v>
      </c>
      <c r="JG5" s="20">
        <v>1.1486577791648168E-3</v>
      </c>
      <c r="JH5" s="20">
        <v>1.145854856031068E-2</v>
      </c>
      <c r="JI5" s="20">
        <v>2.4772519919225699E-3</v>
      </c>
      <c r="JJ5" s="20" t="s">
        <v>134</v>
      </c>
      <c r="JK5" s="20" t="s">
        <v>134</v>
      </c>
      <c r="JL5" s="20">
        <v>1.2536594718902092E-2</v>
      </c>
      <c r="JM5" s="20">
        <v>3.9125166990225721E-4</v>
      </c>
      <c r="JN5" s="20">
        <v>8.686085479821264E-3</v>
      </c>
      <c r="JO5" s="20">
        <v>5.7939397898508526E-4</v>
      </c>
      <c r="JP5" s="20">
        <v>2.5074211467124533E-2</v>
      </c>
      <c r="JQ5" s="20">
        <v>9.0595554867147063E-4</v>
      </c>
      <c r="JR5" s="20" t="s">
        <v>134</v>
      </c>
      <c r="JS5" s="20" t="s">
        <v>134</v>
      </c>
      <c r="JT5" s="20" t="s">
        <v>134</v>
      </c>
      <c r="JU5" s="20" t="s">
        <v>134</v>
      </c>
      <c r="JV5" s="20">
        <v>1.540709324313699E-4</v>
      </c>
      <c r="JW5" s="20">
        <v>9.2086023823760146E-6</v>
      </c>
      <c r="JX5" s="20">
        <v>7.0360400307057577E-3</v>
      </c>
      <c r="JY5" s="20">
        <v>4.4663667634323265E-4</v>
      </c>
      <c r="JZ5" s="20" t="s">
        <v>134</v>
      </c>
      <c r="KA5" s="20" t="s">
        <v>134</v>
      </c>
      <c r="KB5" s="20">
        <v>0.10033806259683645</v>
      </c>
      <c r="KC5" s="20">
        <v>1.3568178239677868E-3</v>
      </c>
      <c r="KD5" s="20">
        <v>1.4183871323668744E-4</v>
      </c>
      <c r="KE5" s="20">
        <v>1.0626391514455084E-5</v>
      </c>
      <c r="KF5" s="20">
        <v>1.5905272416350133E-2</v>
      </c>
      <c r="KG5" s="20">
        <v>1.4058389420888999E-4</v>
      </c>
      <c r="KH5" s="20" t="s">
        <v>134</v>
      </c>
      <c r="KI5" s="20" t="s">
        <v>134</v>
      </c>
      <c r="KJ5" s="20">
        <v>7.0952802228064558E-5</v>
      </c>
      <c r="KK5" s="20">
        <v>1.4951829720208769E-4</v>
      </c>
      <c r="KL5" s="20">
        <v>7.6746105470291832</v>
      </c>
      <c r="KM5" s="20">
        <v>0.10330438245059427</v>
      </c>
      <c r="KN5" s="20">
        <v>1.1161269878740013E-2</v>
      </c>
      <c r="KO5" s="20">
        <v>3.019494781269434E-4</v>
      </c>
    </row>
    <row r="6" spans="1:358" s="14" customFormat="1">
      <c r="A6" s="14" t="s">
        <v>125</v>
      </c>
      <c r="B6" s="14" t="s">
        <v>9</v>
      </c>
      <c r="C6" s="14" t="s">
        <v>10</v>
      </c>
      <c r="D6" s="14">
        <v>37.5</v>
      </c>
      <c r="E6" s="16">
        <v>0.99033355729426298</v>
      </c>
      <c r="F6" s="18">
        <v>0.2889241547483114</v>
      </c>
      <c r="G6" s="18"/>
      <c r="H6" s="18"/>
      <c r="I6" s="18"/>
      <c r="Q6" s="16">
        <v>3.0848</v>
      </c>
      <c r="R6" s="16">
        <v>1.3495184326269965E-2</v>
      </c>
      <c r="S6" s="16">
        <v>0.45669999999999999</v>
      </c>
      <c r="T6" s="16">
        <v>1.2727922061358025E-3</v>
      </c>
      <c r="AA6" s="15">
        <v>4.5343048001716971E-2</v>
      </c>
      <c r="AB6" s="15">
        <v>7.4265888572583902E-4</v>
      </c>
      <c r="AC6" s="15">
        <v>0.10648389960160513</v>
      </c>
      <c r="AD6" s="15">
        <v>1.0271839379919518E-3</v>
      </c>
      <c r="AE6" s="20">
        <v>9.8049003188764E-2</v>
      </c>
      <c r="AF6" s="20">
        <v>3.6064140109151473E-3</v>
      </c>
      <c r="AG6" s="20">
        <v>6.1592265033950593E-2</v>
      </c>
      <c r="AH6" s="20">
        <v>8.4083274589980049E-4</v>
      </c>
      <c r="AI6" s="20">
        <v>3.8910051292094613E-2</v>
      </c>
      <c r="AJ6" s="20">
        <v>5.5086593902853756E-5</v>
      </c>
      <c r="AK6" s="20">
        <v>4.1298718069481023E-3</v>
      </c>
      <c r="AL6" s="20">
        <v>4.8847920166025739E-4</v>
      </c>
      <c r="AM6" s="20">
        <v>0.38734274983517591</v>
      </c>
      <c r="AN6" s="20">
        <v>1.4494096621883813E-2</v>
      </c>
      <c r="AO6" s="20">
        <v>8.2354143146764008E-2</v>
      </c>
      <c r="AP6" s="20">
        <v>2.4862692004920767E-3</v>
      </c>
      <c r="AQ6" s="20">
        <v>9.178962587260359E-3</v>
      </c>
      <c r="AR6" s="20">
        <v>3.4908664058333168E-4</v>
      </c>
      <c r="AS6" s="20">
        <v>1.1820845489721954E-2</v>
      </c>
      <c r="AT6" s="20">
        <v>4.8245549812133519E-6</v>
      </c>
      <c r="AU6" s="20">
        <v>2.6686533638982001E-2</v>
      </c>
      <c r="AV6" s="20">
        <v>2.34558967755951E-4</v>
      </c>
      <c r="AW6" s="20">
        <v>2.7047853392337253E-2</v>
      </c>
      <c r="AX6" s="20">
        <v>1.6558182966640329E-5</v>
      </c>
      <c r="AY6" s="20">
        <v>5.4665489160886458E-3</v>
      </c>
      <c r="AZ6" s="20">
        <v>1.6169841187277722E-5</v>
      </c>
      <c r="BA6" s="20">
        <v>4.2092572921207686E-3</v>
      </c>
      <c r="BB6" s="20">
        <v>2.0103343175728029E-5</v>
      </c>
      <c r="BC6" s="20">
        <v>0.20441439803851369</v>
      </c>
      <c r="BD6" s="20">
        <v>1.0611729676655678E-4</v>
      </c>
      <c r="BE6" s="20">
        <v>0.24684944071775422</v>
      </c>
      <c r="BF6" s="20">
        <v>1.0555293625941838E-5</v>
      </c>
      <c r="BG6" s="20">
        <v>1.5082238070369157E-6</v>
      </c>
      <c r="BH6" s="67">
        <v>1.4232451627306095E-8</v>
      </c>
      <c r="BI6" s="20">
        <v>6.0373629756463217E-2</v>
      </c>
      <c r="BJ6" s="20">
        <v>1.2702471521292737E-4</v>
      </c>
      <c r="BK6" s="20">
        <v>3.6830415848032518E-2</v>
      </c>
      <c r="BL6" s="20">
        <v>1.6128934433917263E-4</v>
      </c>
      <c r="BM6" s="20">
        <v>5.8885964153490931E-3</v>
      </c>
      <c r="BN6" s="20">
        <v>1.8047904673987641E-5</v>
      </c>
      <c r="BO6" s="20" t="s">
        <v>134</v>
      </c>
      <c r="BP6" s="20" t="s">
        <v>135</v>
      </c>
      <c r="BQ6" s="20">
        <v>3.2435862603740536E-3</v>
      </c>
      <c r="BR6" s="20">
        <v>7.069087490323492E-6</v>
      </c>
      <c r="BS6" s="20">
        <v>4.8289152453778244E-3</v>
      </c>
      <c r="BT6" s="20">
        <v>4.8237485161965214E-3</v>
      </c>
      <c r="BU6" s="20">
        <v>9.4875111469149481E-2</v>
      </c>
      <c r="BV6" s="20">
        <v>3.2217443521916182E-3</v>
      </c>
      <c r="BY6" s="15"/>
      <c r="BZ6" s="18"/>
      <c r="CA6" s="18"/>
      <c r="CB6" s="18"/>
    </row>
    <row r="7" spans="1:358" s="14" customFormat="1">
      <c r="A7" s="14" t="s">
        <v>125</v>
      </c>
      <c r="B7" s="14" t="s">
        <v>11</v>
      </c>
      <c r="C7" s="14" t="s">
        <v>12</v>
      </c>
      <c r="D7" s="14">
        <v>60</v>
      </c>
      <c r="E7" s="16">
        <v>0.9953588129812595</v>
      </c>
      <c r="F7" s="18">
        <v>0.32123045890065532</v>
      </c>
      <c r="G7" s="18"/>
      <c r="H7" s="18"/>
      <c r="I7" s="18"/>
      <c r="J7" s="16">
        <v>1.6284727641888443</v>
      </c>
      <c r="K7" s="16">
        <v>3.3766163389817985E-2</v>
      </c>
      <c r="L7" s="18">
        <v>0.18263644275103963</v>
      </c>
      <c r="M7" s="18">
        <v>2.7180610619684568E-3</v>
      </c>
      <c r="N7" s="16">
        <v>-25.26008362</v>
      </c>
      <c r="O7" s="18">
        <v>6.3541946644439171E-2</v>
      </c>
      <c r="P7" s="21">
        <f>J7/L7</f>
        <v>8.9164721983152759</v>
      </c>
      <c r="Q7" s="16">
        <v>1.8918550000000001</v>
      </c>
      <c r="R7" s="16">
        <v>1.6536216314501875E-2</v>
      </c>
      <c r="S7" s="16">
        <v>1.6645E-2</v>
      </c>
      <c r="T7" s="16">
        <v>2.9910616844190953E-3</v>
      </c>
      <c r="U7" s="15">
        <v>0.65731430016067482</v>
      </c>
      <c r="V7" s="15">
        <v>2.1800935183165426E-3</v>
      </c>
      <c r="W7" s="21">
        <v>-347.99138239192763</v>
      </c>
      <c r="X7" s="21">
        <v>2.1800935183165424</v>
      </c>
      <c r="Y7" s="14">
        <v>3370</v>
      </c>
      <c r="Z7" s="14">
        <v>30</v>
      </c>
      <c r="AA7" s="15">
        <v>1.2635897805584415E-2</v>
      </c>
      <c r="AB7" s="15">
        <v>5.5735222929689972E-3</v>
      </c>
      <c r="AC7" s="15">
        <v>6.6483048347934892E-2</v>
      </c>
      <c r="AD7" s="15">
        <v>2.2937346825528636E-3</v>
      </c>
      <c r="AE7" s="20">
        <v>4.262297825793411E-2</v>
      </c>
      <c r="AF7" s="20">
        <v>7.2008290684186596E-4</v>
      </c>
      <c r="AG7" s="20">
        <v>7.7517905533388054E-2</v>
      </c>
      <c r="AH7" s="20">
        <v>7.28353299813761E-4</v>
      </c>
      <c r="AI7" s="20">
        <v>4.6279725287538286E-2</v>
      </c>
      <c r="AJ7" s="20">
        <v>1.1848729661599437E-3</v>
      </c>
      <c r="AK7" s="20">
        <v>9.4422356205366448E-3</v>
      </c>
      <c r="AL7" s="20">
        <v>2.7476170352320269E-4</v>
      </c>
      <c r="AM7" s="20">
        <v>0.15503539615403827</v>
      </c>
      <c r="AN7" s="20">
        <v>1.1396275658603168E-3</v>
      </c>
      <c r="AO7" s="20">
        <v>8.7562635007307613E-2</v>
      </c>
      <c r="AP7" s="20">
        <v>1.937425926613911E-3</v>
      </c>
      <c r="AQ7" s="20">
        <v>9.6575250383798272E-3</v>
      </c>
      <c r="AR7" s="20">
        <v>9.492446759627347E-5</v>
      </c>
      <c r="AS7" s="20">
        <v>1.1290890734318201E-2</v>
      </c>
      <c r="AT7" s="20">
        <v>4.2029079602124334E-6</v>
      </c>
      <c r="AU7" s="20">
        <v>3.0077139128911242E-2</v>
      </c>
      <c r="AV7" s="20">
        <v>4.2969091546739978E-5</v>
      </c>
      <c r="AW7" s="20">
        <v>3.0065842891837176E-2</v>
      </c>
      <c r="AX7" s="20">
        <v>8.2221730346135482E-5</v>
      </c>
      <c r="AY7" s="20">
        <v>4.3937432690506076E-3</v>
      </c>
      <c r="AZ7" s="20">
        <v>7.7554574622232971E-6</v>
      </c>
      <c r="BA7" s="20">
        <v>1.0418680462869168E-2</v>
      </c>
      <c r="BB7" s="20">
        <v>3.1928948513549018E-5</v>
      </c>
      <c r="BC7" s="20">
        <v>9.4951002060604778E-2</v>
      </c>
      <c r="BD7" s="20">
        <v>8.742326320041412E-5</v>
      </c>
      <c r="BE7" s="20">
        <v>0.28751969930128413</v>
      </c>
      <c r="BF7" s="20">
        <v>8.3120108114467101E-4</v>
      </c>
      <c r="BG7" s="20">
        <v>1.9214111621702079E-6</v>
      </c>
      <c r="BH7" s="67">
        <v>1.6988142678604299E-8</v>
      </c>
      <c r="BI7" s="20">
        <v>9.6892314702524511E-3</v>
      </c>
      <c r="BJ7" s="20">
        <v>2.3494486919361391E-5</v>
      </c>
      <c r="BK7" s="20">
        <v>4.4361304940748088E-2</v>
      </c>
      <c r="BL7" s="20">
        <v>2.8326411704262454E-4</v>
      </c>
      <c r="BM7" s="20">
        <v>6.8404253464271342E-3</v>
      </c>
      <c r="BN7" s="20">
        <v>4.5793867255402279E-5</v>
      </c>
      <c r="BO7" s="20" t="s">
        <v>134</v>
      </c>
      <c r="BP7" s="20" t="s">
        <v>135</v>
      </c>
      <c r="BQ7" s="20">
        <v>8.4564601102067385E-3</v>
      </c>
      <c r="BR7" s="20">
        <v>3.9073929531986837E-6</v>
      </c>
      <c r="BS7" s="20" t="s">
        <v>134</v>
      </c>
      <c r="BT7" s="20" t="s">
        <v>135</v>
      </c>
      <c r="BU7" s="20">
        <v>8.8213687211467079E-2</v>
      </c>
      <c r="BV7" s="20">
        <v>2.928204211588302E-4</v>
      </c>
      <c r="BW7" s="18">
        <v>0.34783042697000999</v>
      </c>
      <c r="BX7" s="18">
        <v>2.4523520033657407E-2</v>
      </c>
      <c r="BY7" s="15">
        <v>3.7535131120653982E-3</v>
      </c>
      <c r="BZ7" s="18">
        <v>0.11077401860214559</v>
      </c>
      <c r="CA7" s="18">
        <v>8.4684816636181159E-2</v>
      </c>
      <c r="CB7" s="18">
        <v>1.9962879919491111E-2</v>
      </c>
      <c r="CC7" s="15">
        <v>6.0369915605474354E-2</v>
      </c>
      <c r="CD7" s="16">
        <v>1.2502646332331737</v>
      </c>
      <c r="CE7" s="16">
        <v>5.5345279689907994</v>
      </c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20">
        <v>1.5412360565994135E-9</v>
      </c>
      <c r="CY7" s="20">
        <v>2.6573950648306279E-10</v>
      </c>
      <c r="CZ7" s="20">
        <v>4.2760282700291508E-8</v>
      </c>
      <c r="DA7" s="20">
        <v>3.5356128845382328E-8</v>
      </c>
      <c r="DB7" s="20">
        <v>9.9451397252035398E-7</v>
      </c>
      <c r="DC7" s="20">
        <v>1.2740815206995273E-8</v>
      </c>
      <c r="DD7" s="20">
        <v>1.0237076158982923E-8</v>
      </c>
      <c r="DE7" s="20">
        <v>1.3493660568958582E-9</v>
      </c>
      <c r="DF7" s="20">
        <v>3.9981917860551926E-7</v>
      </c>
      <c r="DG7" s="20">
        <v>1.6223568871256433E-8</v>
      </c>
      <c r="DH7" s="20">
        <v>1.1374209969270382E-7</v>
      </c>
      <c r="DI7" s="20">
        <v>4.064566975627103E-9</v>
      </c>
      <c r="DJ7" s="20" t="s">
        <v>134</v>
      </c>
      <c r="DK7" s="20" t="s">
        <v>134</v>
      </c>
      <c r="DL7" s="20" t="s">
        <v>134</v>
      </c>
      <c r="DM7" s="20" t="s">
        <v>134</v>
      </c>
      <c r="DN7" s="20">
        <v>1.0619268481222783E-7</v>
      </c>
      <c r="DO7" s="20">
        <v>1.7789977010065459E-9</v>
      </c>
      <c r="DP7" s="20">
        <v>8.6610954416129501E-6</v>
      </c>
      <c r="DQ7" s="20">
        <v>6.7894273901996978E-8</v>
      </c>
      <c r="DR7" s="20">
        <v>2.7762796467211124E-9</v>
      </c>
      <c r="DS7" s="20">
        <v>6.243877144780432E-11</v>
      </c>
      <c r="DT7" s="20" t="s">
        <v>134</v>
      </c>
      <c r="DU7" s="20" t="s">
        <v>134</v>
      </c>
      <c r="DV7" s="20" t="s">
        <v>134</v>
      </c>
      <c r="DW7" s="20" t="s">
        <v>134</v>
      </c>
      <c r="DX7" s="20">
        <v>4.0497326334533129E-10</v>
      </c>
      <c r="DY7" s="20">
        <v>1.1645583063539012E-11</v>
      </c>
      <c r="DZ7" s="20" t="s">
        <v>134</v>
      </c>
      <c r="EA7" s="20" t="s">
        <v>134</v>
      </c>
      <c r="EB7" s="20">
        <v>-6.5489522281411024E-12</v>
      </c>
      <c r="EC7" s="20">
        <v>6.5730624539329927E-12</v>
      </c>
      <c r="ED7" s="20">
        <v>-2.3506173035818856E-10</v>
      </c>
      <c r="EE7" s="20">
        <v>4.1173760986172408E-11</v>
      </c>
      <c r="EF7" s="20">
        <v>5.0688116907415878E-11</v>
      </c>
      <c r="EG7" s="20">
        <v>1.6557018920341598E-12</v>
      </c>
      <c r="EH7" s="20">
        <v>1.3826028186028046E-8</v>
      </c>
      <c r="EI7" s="20">
        <v>1.7452559606251602E-10</v>
      </c>
      <c r="EJ7" s="20" t="s">
        <v>134</v>
      </c>
      <c r="EK7" s="20" t="s">
        <v>134</v>
      </c>
      <c r="EL7" s="20">
        <v>6.6795326735392185E-10</v>
      </c>
      <c r="EM7" s="20">
        <v>8.9540681917840494E-12</v>
      </c>
      <c r="EN7" s="20" t="s">
        <v>134</v>
      </c>
      <c r="EO7" s="20" t="s">
        <v>134</v>
      </c>
      <c r="EP7" s="20" t="s">
        <v>134</v>
      </c>
      <c r="EQ7" s="20" t="s">
        <v>134</v>
      </c>
      <c r="ER7" s="20" t="s">
        <v>134</v>
      </c>
      <c r="ES7" s="20" t="s">
        <v>134</v>
      </c>
      <c r="ET7" s="20" t="s">
        <v>134</v>
      </c>
      <c r="EU7" s="20" t="s">
        <v>134</v>
      </c>
      <c r="EV7" s="20">
        <v>1.2781210149503957E-11</v>
      </c>
      <c r="EW7" s="20">
        <v>2.7619392053846081E-13</v>
      </c>
      <c r="EX7" s="20">
        <v>3.0114612930758438E-9</v>
      </c>
      <c r="EY7" s="20">
        <v>2.4290958841285381E-11</v>
      </c>
      <c r="EZ7" s="20" t="s">
        <v>134</v>
      </c>
      <c r="FA7" s="20" t="s">
        <v>134</v>
      </c>
      <c r="FB7" s="20">
        <v>1.1642066343487826E-10</v>
      </c>
      <c r="FC7" s="20">
        <v>4.6439103529922773E-12</v>
      </c>
      <c r="FD7" s="20" t="s">
        <v>134</v>
      </c>
      <c r="FE7" s="20" t="s">
        <v>134</v>
      </c>
      <c r="FF7" s="20">
        <v>1.4280843382185609E-11</v>
      </c>
      <c r="FG7" s="20">
        <v>4.7484430411588087E-13</v>
      </c>
      <c r="FH7" s="20">
        <v>5.0342722968719924E-8</v>
      </c>
      <c r="FI7" s="20">
        <v>1.3998341919238658E-8</v>
      </c>
      <c r="FJ7" s="20">
        <v>9.8481286914157683E-11</v>
      </c>
      <c r="FK7" s="20">
        <v>1.0213307031080391E-11</v>
      </c>
      <c r="FL7" s="20">
        <v>1.8034238034128516E-3</v>
      </c>
      <c r="FM7" s="20">
        <v>3.9998414412370047E-5</v>
      </c>
      <c r="FN7" s="20">
        <v>0.62137253187565611</v>
      </c>
      <c r="FO7" s="20">
        <v>5.9459648647167494E-3</v>
      </c>
      <c r="FP7" s="20">
        <v>0.26532537958134966</v>
      </c>
      <c r="FQ7" s="20">
        <v>3.3940529750216102E-3</v>
      </c>
      <c r="FR7" s="20">
        <v>1.7010693546694215E-2</v>
      </c>
      <c r="FS7" s="20">
        <v>1.985753392869207E-4</v>
      </c>
      <c r="FT7" s="20">
        <v>0.26365256613146515</v>
      </c>
      <c r="FU7" s="20">
        <v>3.644531159042863E-3</v>
      </c>
      <c r="FV7" s="20">
        <v>4.5132263332190767E-2</v>
      </c>
      <c r="FW7" s="20">
        <v>1.0536613356636009E-3</v>
      </c>
      <c r="FX7" s="20" t="s">
        <v>134</v>
      </c>
      <c r="FY7" s="20" t="s">
        <v>134</v>
      </c>
      <c r="FZ7" s="20" t="s">
        <v>134</v>
      </c>
      <c r="GA7" s="20" t="s">
        <v>134</v>
      </c>
      <c r="GB7" s="20">
        <v>2.8291544918513562E-2</v>
      </c>
      <c r="GC7" s="20">
        <v>4.7395537137943808E-4</v>
      </c>
      <c r="GD7" s="20">
        <v>2.311794115636987</v>
      </c>
      <c r="GE7" s="20">
        <v>1.8087838857460122E-2</v>
      </c>
      <c r="GF7" s="20">
        <v>7.3964831448089573E-4</v>
      </c>
      <c r="GG7" s="20">
        <v>1.6634755117039393E-5</v>
      </c>
      <c r="GH7" s="20" t="s">
        <v>134</v>
      </c>
      <c r="GI7" s="20" t="s">
        <v>134</v>
      </c>
      <c r="GJ7" s="20" t="s">
        <v>134</v>
      </c>
      <c r="GK7" s="20" t="s">
        <v>134</v>
      </c>
      <c r="GL7" s="20">
        <v>1.078917939685821E-4</v>
      </c>
      <c r="GM7" s="20">
        <v>3.1025822251972756E-6</v>
      </c>
      <c r="GN7" s="20" t="s">
        <v>134</v>
      </c>
      <c r="GO7" s="20" t="s">
        <v>134</v>
      </c>
      <c r="GP7" s="20">
        <v>9.217510091211691E-5</v>
      </c>
      <c r="GQ7" s="20">
        <v>1.4164841382327559E-6</v>
      </c>
      <c r="GR7" s="20">
        <v>1.5902358127937587E-4</v>
      </c>
      <c r="GS7" s="20">
        <v>7.9094597292178088E-6</v>
      </c>
      <c r="GT7" s="20">
        <v>1.3504180055874209E-5</v>
      </c>
      <c r="GU7" s="20">
        <v>4.411072620772325E-7</v>
      </c>
      <c r="GV7" s="20">
        <v>3.683490046054528E-3</v>
      </c>
      <c r="GW7" s="20">
        <v>4.6496599546040232E-5</v>
      </c>
      <c r="GX7" s="20" t="s">
        <v>134</v>
      </c>
      <c r="GY7" s="20" t="s">
        <v>134</v>
      </c>
      <c r="GZ7" s="20">
        <v>1.7795415852067605E-4</v>
      </c>
      <c r="HA7" s="20">
        <v>2.3855166944806565E-6</v>
      </c>
      <c r="HB7" s="20" t="s">
        <v>134</v>
      </c>
      <c r="HC7" s="20" t="s">
        <v>134</v>
      </c>
      <c r="HD7" s="20" t="s">
        <v>134</v>
      </c>
      <c r="HE7" s="20" t="s">
        <v>134</v>
      </c>
      <c r="HF7" s="20" t="s">
        <v>134</v>
      </c>
      <c r="HG7" s="20" t="s">
        <v>134</v>
      </c>
      <c r="HH7" s="20" t="s">
        <v>134</v>
      </c>
      <c r="HI7" s="20" t="s">
        <v>134</v>
      </c>
      <c r="HJ7" s="20">
        <v>3.4051326764837127E-6</v>
      </c>
      <c r="HK7" s="20">
        <v>7.3582777598579671E-8</v>
      </c>
      <c r="HL7" s="20">
        <v>8.7060287401824043E-4</v>
      </c>
      <c r="HM7" s="20">
        <v>6.363037419914944E-6</v>
      </c>
      <c r="HN7" s="20" t="s">
        <v>134</v>
      </c>
      <c r="HO7" s="20" t="s">
        <v>134</v>
      </c>
      <c r="HP7" s="20">
        <v>5.8952007914811121E-5</v>
      </c>
      <c r="HQ7" s="20">
        <v>1.1724662630184843E-6</v>
      </c>
      <c r="HR7" s="20" t="s">
        <v>134</v>
      </c>
      <c r="HS7" s="20" t="s">
        <v>134</v>
      </c>
      <c r="HT7" s="20">
        <v>3.8046605821838927E-6</v>
      </c>
      <c r="HU7" s="20">
        <v>1.2650663257030543E-7</v>
      </c>
      <c r="HV7" s="20">
        <v>1.7223103494513579E-2</v>
      </c>
      <c r="HW7" s="20">
        <v>3.7252885445219612E-3</v>
      </c>
      <c r="HX7" s="20">
        <v>2.623709681407444E-5</v>
      </c>
      <c r="HY7" s="20">
        <v>2.720999428042612E-6</v>
      </c>
      <c r="HZ7" s="20" t="s">
        <v>134</v>
      </c>
      <c r="IA7" s="20" t="s">
        <v>134</v>
      </c>
      <c r="IB7" s="20">
        <v>0.97619380566475633</v>
      </c>
      <c r="IC7" s="20">
        <v>1.4849591787988288E-2</v>
      </c>
      <c r="ID7" s="20">
        <v>16.356077295698125</v>
      </c>
      <c r="IE7" s="20">
        <v>0.30324111707345974</v>
      </c>
      <c r="IF7" s="20">
        <v>6.3488674333927103E-2</v>
      </c>
      <c r="IG7" s="20">
        <v>1.137783183804251E-2</v>
      </c>
      <c r="IH7" s="20">
        <v>0.31372296490817153</v>
      </c>
      <c r="II7" s="20">
        <v>2.2826077973064157E-2</v>
      </c>
      <c r="IJ7" s="20">
        <v>1.0677942718348443</v>
      </c>
      <c r="IK7" s="20">
        <v>5.0534693076295829E-2</v>
      </c>
      <c r="IL7" s="20">
        <v>8.7431063152493785E-2</v>
      </c>
      <c r="IM7" s="20">
        <v>1.4513483153626659E-2</v>
      </c>
      <c r="IN7" s="20">
        <v>3.6907896718966111E-3</v>
      </c>
      <c r="IO7" s="20">
        <v>1.0911326166498717E-3</v>
      </c>
      <c r="IP7" s="20">
        <v>3.5683184710098403E-2</v>
      </c>
      <c r="IQ7" s="20">
        <v>1.3339442326592678E-3</v>
      </c>
      <c r="IR7" s="20">
        <v>2.0748240406878667E-2</v>
      </c>
      <c r="IS7" s="20">
        <v>1.3299333860177761E-3</v>
      </c>
      <c r="IT7" s="20">
        <v>0.34496768335103378</v>
      </c>
      <c r="IU7" s="20">
        <v>2.6838711182346389E-2</v>
      </c>
      <c r="IV7" s="20">
        <v>0.38036166146363309</v>
      </c>
      <c r="IW7" s="20">
        <v>7.2796575176442583E-3</v>
      </c>
      <c r="IX7" s="20">
        <v>8.6862500405110676E-2</v>
      </c>
      <c r="IY7" s="20">
        <v>9.6718970925717702E-3</v>
      </c>
      <c r="IZ7" s="20">
        <v>8.5033740323143953E-2</v>
      </c>
      <c r="JA7" s="20">
        <v>3.7178774800743055E-3</v>
      </c>
      <c r="JB7" s="20">
        <v>5.5558407232405856E-2</v>
      </c>
      <c r="JC7" s="20">
        <v>2.5229706966760908E-3</v>
      </c>
      <c r="JD7" s="20">
        <v>2.479866679637662E-3</v>
      </c>
      <c r="JE7" s="20">
        <v>1.2917239021340927E-3</v>
      </c>
      <c r="JF7" s="20">
        <v>0.30123790841942083</v>
      </c>
      <c r="JG7" s="20">
        <v>3.7164162513185547E-3</v>
      </c>
      <c r="JH7" s="20">
        <v>4.2704678878620714E-2</v>
      </c>
      <c r="JI7" s="20">
        <v>3.8601687700089643E-3</v>
      </c>
      <c r="JJ7" s="20" t="s">
        <v>134</v>
      </c>
      <c r="JK7" s="20" t="s">
        <v>134</v>
      </c>
      <c r="JL7" s="20">
        <v>6.0164089962383522E-3</v>
      </c>
      <c r="JM7" s="20">
        <v>5.6341155746436752E-4</v>
      </c>
      <c r="JN7" s="20">
        <v>1.0457789979896482E-2</v>
      </c>
      <c r="JO7" s="20">
        <v>8.332465241439812E-4</v>
      </c>
      <c r="JP7" s="20">
        <v>4.1072348736444386E-2</v>
      </c>
      <c r="JQ7" s="20">
        <v>1.0091470903412258E-3</v>
      </c>
      <c r="JR7" s="20" t="s">
        <v>134</v>
      </c>
      <c r="JS7" s="20" t="s">
        <v>134</v>
      </c>
      <c r="JT7" s="20" t="s">
        <v>134</v>
      </c>
      <c r="JU7" s="20" t="s">
        <v>134</v>
      </c>
      <c r="JV7" s="20" t="s">
        <v>134</v>
      </c>
      <c r="JW7" s="20" t="s">
        <v>134</v>
      </c>
      <c r="JX7" s="20">
        <v>6.777063370976678E-3</v>
      </c>
      <c r="JY7" s="20">
        <v>6.6864156021886304E-4</v>
      </c>
      <c r="JZ7" s="20" t="s">
        <v>134</v>
      </c>
      <c r="KA7" s="20" t="s">
        <v>134</v>
      </c>
      <c r="KB7" s="20">
        <v>8.1174722930106108E-2</v>
      </c>
      <c r="KC7" s="20">
        <v>1.5038615982195169E-3</v>
      </c>
      <c r="KD7" s="20">
        <v>2.0770061934638498E-4</v>
      </c>
      <c r="KE7" s="20">
        <v>1.4431415518576701E-5</v>
      </c>
      <c r="KF7" s="20">
        <v>1.1806454472667165E-2</v>
      </c>
      <c r="KG7" s="20">
        <v>9.8795679325902963E-5</v>
      </c>
      <c r="KH7" s="20" t="s">
        <v>134</v>
      </c>
      <c r="KI7" s="20" t="s">
        <v>134</v>
      </c>
      <c r="KJ7" s="20">
        <v>9.4580670279959255E-5</v>
      </c>
      <c r="KK7" s="20">
        <v>2.2660429185366262E-4</v>
      </c>
      <c r="KL7" s="20">
        <v>9.7229568972196514</v>
      </c>
      <c r="KM7" s="20">
        <v>5.854769652364282E-2</v>
      </c>
      <c r="KN7" s="20">
        <v>6.2660696551583867E-3</v>
      </c>
      <c r="KO7" s="20">
        <v>2.5413360657993068E-4</v>
      </c>
      <c r="KP7" s="46">
        <v>3.2559237610449584E-3</v>
      </c>
      <c r="KQ7" s="46">
        <v>4.0175923015464514E-3</v>
      </c>
      <c r="KR7" s="16">
        <v>1.0001796034699975</v>
      </c>
      <c r="KS7" s="16">
        <v>36.343286661390295</v>
      </c>
      <c r="KT7" s="16">
        <v>2.791887932327157E-2</v>
      </c>
      <c r="KU7" s="16">
        <v>35.877304081621716</v>
      </c>
      <c r="KV7" s="16">
        <v>2.0907749258950798</v>
      </c>
      <c r="KW7" s="16">
        <v>1.2545218121652457</v>
      </c>
      <c r="KX7" s="16">
        <v>6.0951588811169145E-3</v>
      </c>
      <c r="KY7" s="16">
        <v>1.0961855571201951</v>
      </c>
      <c r="KZ7" s="16">
        <v>6.79945868428747E-3</v>
      </c>
      <c r="LA7" s="16">
        <v>1.4502478317669156</v>
      </c>
      <c r="LB7" s="16">
        <v>3.6113581070527458E-2</v>
      </c>
      <c r="LC7" s="18">
        <v>0.17202271563214072</v>
      </c>
      <c r="LD7" s="18">
        <v>8.583060064428303E-4</v>
      </c>
      <c r="LE7" s="16">
        <v>33.154319928159126</v>
      </c>
      <c r="LF7" s="16">
        <v>0.20722192073135903</v>
      </c>
      <c r="LG7" s="16">
        <v>24.738740024806965</v>
      </c>
      <c r="LH7" s="16">
        <v>1.5677706253769308</v>
      </c>
      <c r="LI7" s="16">
        <v>7.2927683274571606</v>
      </c>
      <c r="LJ7" s="16">
        <v>5.0788545538591794E-2</v>
      </c>
      <c r="LK7" s="16">
        <v>-26.623052129999998</v>
      </c>
      <c r="LL7" s="16">
        <v>8.1826863409383513E-2</v>
      </c>
      <c r="LM7" s="16">
        <v>-25.666751080000001</v>
      </c>
      <c r="LN7" s="16">
        <v>7.1657621377881703E-2</v>
      </c>
      <c r="LO7" s="16">
        <v>-24.981286749999995</v>
      </c>
      <c r="LP7" s="16">
        <v>0.20147247034025434</v>
      </c>
      <c r="LQ7" s="16"/>
      <c r="LR7" s="16"/>
      <c r="LS7" s="16"/>
      <c r="LT7" s="16"/>
      <c r="LU7" s="16"/>
      <c r="LV7" s="16"/>
      <c r="MI7" s="18">
        <v>0.11833097059528895</v>
      </c>
      <c r="MJ7" s="18">
        <v>9.0901742570386693E-5</v>
      </c>
      <c r="MK7" s="18">
        <v>0.14414038067856447</v>
      </c>
      <c r="ML7" s="18">
        <v>8.399881246542425E-3</v>
      </c>
      <c r="MM7" s="18">
        <v>1.254747128635898</v>
      </c>
      <c r="MN7" s="18">
        <v>6.0962535928021496E-3</v>
      </c>
      <c r="MO7" s="46">
        <v>3.569096601941948E-3</v>
      </c>
      <c r="MP7" s="46">
        <v>2.2138519092415066E-5</v>
      </c>
      <c r="MQ7" s="46">
        <v>5.8265045242411936E-3</v>
      </c>
      <c r="MR7" s="46">
        <v>1.4508964529022476E-4</v>
      </c>
      <c r="MS7" s="18">
        <v>0.17205361150878662</v>
      </c>
      <c r="MT7" s="18">
        <v>8.58460161179907E-4</v>
      </c>
    </row>
    <row r="8" spans="1:358" s="14" customFormat="1">
      <c r="A8" s="14" t="s">
        <v>125</v>
      </c>
      <c r="B8" s="14" t="s">
        <v>13</v>
      </c>
      <c r="C8" s="14" t="s">
        <v>14</v>
      </c>
      <c r="D8" s="14">
        <v>76</v>
      </c>
      <c r="E8" s="16">
        <v>0.97577854671280273</v>
      </c>
      <c r="F8" s="18">
        <v>0.4301131368863414</v>
      </c>
      <c r="G8" s="18"/>
      <c r="H8" s="18"/>
      <c r="I8" s="18"/>
      <c r="Q8" s="16">
        <v>3.2854999999999999</v>
      </c>
      <c r="R8" s="16">
        <v>2.1920310216783073E-2</v>
      </c>
      <c r="S8" s="16">
        <v>-9.8999999999999999E-4</v>
      </c>
      <c r="T8" s="16">
        <v>2.602152954766495E-3</v>
      </c>
      <c r="AA8" s="15">
        <v>3.1931451947754159E-2</v>
      </c>
      <c r="AB8" s="15">
        <v>1.7172651277936938E-3</v>
      </c>
      <c r="AC8" s="15">
        <v>5.7982918399434966E-2</v>
      </c>
      <c r="AD8" s="15">
        <v>2.912179231599997E-3</v>
      </c>
      <c r="AE8" s="20">
        <v>3.6599691679322199E-2</v>
      </c>
      <c r="AF8" s="20">
        <v>1.5750666037925368E-3</v>
      </c>
      <c r="AG8" s="20">
        <v>7.9121805334292417E-2</v>
      </c>
      <c r="AH8" s="20">
        <v>2.7551980306974116E-3</v>
      </c>
      <c r="AI8" s="20">
        <v>4.1587960805462329E-2</v>
      </c>
      <c r="AJ8" s="20">
        <v>2.2052993948767654E-3</v>
      </c>
      <c r="AK8" s="20">
        <v>2.0416852054651316E-3</v>
      </c>
      <c r="AL8" s="20">
        <v>2.9090751772780933E-4</v>
      </c>
      <c r="AM8" s="20">
        <v>0.13772123317918014</v>
      </c>
      <c r="AN8" s="20">
        <v>6.9723436308719248E-3</v>
      </c>
      <c r="AO8" s="20">
        <v>6.3760288453808794E-2</v>
      </c>
      <c r="AP8" s="20">
        <v>4.715462295008621E-3</v>
      </c>
      <c r="AQ8" s="20">
        <v>8.6972594658266261E-3</v>
      </c>
      <c r="AR8" s="20">
        <v>9.213874928086889E-4</v>
      </c>
      <c r="AS8" s="20">
        <v>1.0418981373553796E-2</v>
      </c>
      <c r="AT8" s="20">
        <v>6.1761919716358946E-5</v>
      </c>
      <c r="AU8" s="20">
        <v>2.9501861959364013E-2</v>
      </c>
      <c r="AV8" s="20">
        <v>2.9663422469953816E-4</v>
      </c>
      <c r="AW8" s="20">
        <v>2.0160311720278795E-2</v>
      </c>
      <c r="AX8" s="20">
        <v>1.265453635101316E-4</v>
      </c>
      <c r="AY8" s="20">
        <v>3.7935215744568183E-3</v>
      </c>
      <c r="AZ8" s="20">
        <v>1.3661573122197936E-5</v>
      </c>
      <c r="BA8" s="20">
        <v>2.7777843055212916E-3</v>
      </c>
      <c r="BB8" s="20">
        <v>1.1491917150052292E-5</v>
      </c>
      <c r="BC8" s="20">
        <v>9.558370020647794E-2</v>
      </c>
      <c r="BD8" s="20">
        <v>8.1952142272697154E-5</v>
      </c>
      <c r="BE8" s="20">
        <v>0.23548374669459557</v>
      </c>
      <c r="BF8" s="20">
        <v>2.5692769580094778E-4</v>
      </c>
      <c r="BG8" s="20">
        <v>2.4872117070437271E-6</v>
      </c>
      <c r="BH8" s="67">
        <v>1.8007433848892829E-8</v>
      </c>
      <c r="BI8" s="20">
        <v>8.0233021859263086E-3</v>
      </c>
      <c r="BJ8" s="20">
        <v>1.389546925043649E-5</v>
      </c>
      <c r="BK8" s="20">
        <v>4.6364213574709164E-2</v>
      </c>
      <c r="BL8" s="20">
        <v>5.7970123332397113E-5</v>
      </c>
      <c r="BM8" s="20">
        <v>1.5267171790369508E-3</v>
      </c>
      <c r="BN8" s="20">
        <v>1.0026869962037244E-5</v>
      </c>
      <c r="BO8" s="20" t="s">
        <v>134</v>
      </c>
      <c r="BP8" s="20" t="s">
        <v>135</v>
      </c>
      <c r="BQ8" s="20">
        <v>1.4359458364358911E-3</v>
      </c>
      <c r="BR8" s="20">
        <v>3.6949918788147421E-6</v>
      </c>
      <c r="BS8" s="20" t="s">
        <v>134</v>
      </c>
      <c r="BT8" s="20" t="s">
        <v>135</v>
      </c>
      <c r="BU8" s="20">
        <v>6.970485809925403E-2</v>
      </c>
      <c r="BV8" s="20">
        <v>3.985370397314142E-4</v>
      </c>
      <c r="BW8" s="60"/>
      <c r="BX8" s="60"/>
      <c r="BY8" s="15"/>
      <c r="BZ8" s="18"/>
      <c r="CA8" s="18"/>
      <c r="CB8" s="18"/>
      <c r="KR8" s="16"/>
    </row>
    <row r="9" spans="1:358" s="14" customFormat="1">
      <c r="A9" s="14" t="s">
        <v>125</v>
      </c>
      <c r="B9" s="14" t="s">
        <v>15</v>
      </c>
      <c r="C9" s="14" t="s">
        <v>16</v>
      </c>
      <c r="D9" s="14">
        <v>89.5</v>
      </c>
      <c r="E9" s="16">
        <v>0.15191603827666803</v>
      </c>
      <c r="F9" s="18">
        <v>0.16336926904395208</v>
      </c>
      <c r="G9" s="18"/>
      <c r="H9" s="18"/>
      <c r="I9" s="18"/>
      <c r="J9" s="16">
        <v>0.78261705536641002</v>
      </c>
      <c r="K9" s="16">
        <v>6.4709729661972096E-2</v>
      </c>
      <c r="L9" s="18">
        <v>8.7597966943360805E-2</v>
      </c>
      <c r="M9" s="18">
        <v>5.695253929125667E-3</v>
      </c>
      <c r="N9" s="16">
        <v>-26.054141569999999</v>
      </c>
      <c r="O9" s="18">
        <v>4.4372576865049827E-2</v>
      </c>
      <c r="P9" s="21">
        <f>J9/L9</f>
        <v>8.9341919986845753</v>
      </c>
      <c r="Q9" s="16">
        <v>0.88980999999999999</v>
      </c>
      <c r="R9" s="16">
        <v>2.5000000000000413E-3</v>
      </c>
      <c r="S9" s="16">
        <v>-4.6000000000000001E-4</v>
      </c>
      <c r="T9" s="16">
        <v>3.5355339059327376E-4</v>
      </c>
      <c r="U9" s="15">
        <v>0.3718323964651537</v>
      </c>
      <c r="V9" s="15">
        <v>1.5423818191836179E-3</v>
      </c>
      <c r="W9" s="21">
        <v>-631.16894499042587</v>
      </c>
      <c r="X9" s="21">
        <v>1.5423818191836178</v>
      </c>
      <c r="Y9" s="14">
        <v>7945</v>
      </c>
      <c r="Z9" s="14">
        <v>35</v>
      </c>
      <c r="AA9" s="15">
        <v>4.1627218823234273E-2</v>
      </c>
      <c r="AB9" s="15">
        <v>2.0597673373946046E-3</v>
      </c>
      <c r="AC9" s="15">
        <v>2.2950406860613684E-2</v>
      </c>
      <c r="AD9" s="15">
        <v>4.3602065708837971E-4</v>
      </c>
      <c r="AE9" s="20">
        <v>2.6574583324421988E-2</v>
      </c>
      <c r="AF9" s="20">
        <v>2.0858023174063945E-3</v>
      </c>
      <c r="AG9" s="20">
        <v>5.6108746341467786E-2</v>
      </c>
      <c r="AH9" s="20">
        <v>4.5560788424210625E-3</v>
      </c>
      <c r="AI9" s="20">
        <v>3.5159404551906442E-2</v>
      </c>
      <c r="AJ9" s="20">
        <v>2.9256390206847211E-3</v>
      </c>
      <c r="AK9" s="20">
        <v>9.6657128342704144E-4</v>
      </c>
      <c r="AL9" s="20">
        <v>5.3851356467091356E-5</v>
      </c>
      <c r="AM9" s="20">
        <v>9.3971246888046589E-2</v>
      </c>
      <c r="AN9" s="20">
        <v>1.0098502964070215E-2</v>
      </c>
      <c r="AO9" s="20">
        <v>6.0621230222056788E-2</v>
      </c>
      <c r="AP9" s="20">
        <v>2.8320269254161743E-3</v>
      </c>
      <c r="AQ9" s="20">
        <v>8.7360855594313183E-3</v>
      </c>
      <c r="AR9" s="20">
        <v>2.4325584624547867E-3</v>
      </c>
      <c r="AS9" s="20">
        <v>6.7346063499051567E-3</v>
      </c>
      <c r="AT9" s="20">
        <v>1.0179228009787529E-4</v>
      </c>
      <c r="AU9" s="20">
        <v>2.3085668551250112E-2</v>
      </c>
      <c r="AV9" s="20">
        <v>7.0187017367650338E-5</v>
      </c>
      <c r="AW9" s="20">
        <v>1.7060207700626627E-2</v>
      </c>
      <c r="AX9" s="20">
        <v>4.2312753572738699E-5</v>
      </c>
      <c r="AY9" s="20">
        <v>5.2074448631905029E-3</v>
      </c>
      <c r="AZ9" s="20">
        <v>1.5794125477123705E-5</v>
      </c>
      <c r="BA9" s="20">
        <v>1.0005606403614346E-3</v>
      </c>
      <c r="BB9" s="20">
        <v>3.6479800872069736E-7</v>
      </c>
      <c r="BC9" s="20">
        <v>4.1911530728579588E-2</v>
      </c>
      <c r="BD9" s="20">
        <v>7.0906356871207165E-6</v>
      </c>
      <c r="BE9" s="20">
        <v>0.18984325350306952</v>
      </c>
      <c r="BF9" s="20">
        <v>1.4580035079308779E-4</v>
      </c>
      <c r="BG9" s="20">
        <v>1.770061419488451E-6</v>
      </c>
      <c r="BH9" s="67">
        <v>3.63046690071232E-8</v>
      </c>
      <c r="BI9" s="20">
        <v>6.9653465912000046E-3</v>
      </c>
      <c r="BJ9" s="20">
        <v>1.6316561297371627E-5</v>
      </c>
      <c r="BK9" s="20">
        <v>2.7023749284130417E-2</v>
      </c>
      <c r="BL9" s="20">
        <v>9.546161842463596E-6</v>
      </c>
      <c r="BM9" s="20" t="s">
        <v>134</v>
      </c>
      <c r="BN9" s="20" t="s">
        <v>135</v>
      </c>
      <c r="BO9" s="20" t="s">
        <v>134</v>
      </c>
      <c r="BP9" s="20" t="s">
        <v>135</v>
      </c>
      <c r="BQ9" s="20">
        <v>5.4273119083016815E-4</v>
      </c>
      <c r="BR9" s="20">
        <v>1.9557384237484285E-6</v>
      </c>
      <c r="BS9" s="20" t="s">
        <v>134</v>
      </c>
      <c r="BT9" s="20" t="s">
        <v>135</v>
      </c>
      <c r="BU9" s="20">
        <v>5.2626945241771271E-2</v>
      </c>
      <c r="BV9" s="20">
        <v>9.9340895380742325E-6</v>
      </c>
      <c r="BW9" s="60"/>
      <c r="BX9" s="60"/>
      <c r="BY9" s="15"/>
      <c r="BZ9" s="18"/>
      <c r="CA9" s="18"/>
      <c r="CB9" s="18"/>
      <c r="KR9" s="16"/>
    </row>
    <row r="10" spans="1:358" s="14" customFormat="1">
      <c r="A10" s="14" t="s">
        <v>125</v>
      </c>
      <c r="B10" s="14" t="s">
        <v>17</v>
      </c>
      <c r="C10" s="14" t="s">
        <v>18</v>
      </c>
      <c r="D10" s="14">
        <v>106</v>
      </c>
      <c r="E10" s="16">
        <v>4.9561711728372232E-2</v>
      </c>
      <c r="F10" s="18">
        <v>0.27660213568027864</v>
      </c>
      <c r="G10" s="18"/>
      <c r="H10" s="18"/>
      <c r="I10" s="18"/>
      <c r="Q10" s="16">
        <v>0.73535500000000009</v>
      </c>
      <c r="R10" s="16">
        <v>1.6423612574582976E-2</v>
      </c>
      <c r="S10" s="16">
        <v>2.1095000000000003E-2</v>
      </c>
      <c r="T10" s="16">
        <v>1.4502760082136083E-2</v>
      </c>
      <c r="AA10" s="15">
        <v>4.179776675029831E-2</v>
      </c>
      <c r="AB10" s="15">
        <v>1.8683493216728429E-4</v>
      </c>
      <c r="AC10" s="15">
        <v>2.1946787303756446E-2</v>
      </c>
      <c r="AD10" s="15">
        <v>1.3982767848880414E-3</v>
      </c>
      <c r="AE10" s="20">
        <v>3.8088744129295068E-2</v>
      </c>
      <c r="AF10" s="20">
        <v>3.7528705582335607E-3</v>
      </c>
      <c r="AG10" s="20">
        <v>5.2785254271615421E-2</v>
      </c>
      <c r="AH10" s="20">
        <v>4.1349488491903988E-3</v>
      </c>
      <c r="AI10" s="20">
        <v>3.3541094895478303E-2</v>
      </c>
      <c r="AJ10" s="20">
        <v>2.5504877110389319E-3</v>
      </c>
      <c r="AK10" s="20">
        <v>1.0200945560915836E-3</v>
      </c>
      <c r="AL10" s="20">
        <v>4.6547027290537458E-5</v>
      </c>
      <c r="AM10" s="20">
        <v>0.12884553894676917</v>
      </c>
      <c r="AN10" s="20">
        <v>1.5408172198849261E-2</v>
      </c>
      <c r="AO10" s="20">
        <v>4.9471496354748963E-2</v>
      </c>
      <c r="AP10" s="20">
        <v>2.5335303061899172E-3</v>
      </c>
      <c r="AQ10" s="20">
        <v>1.2483694916544601E-2</v>
      </c>
      <c r="AR10" s="20">
        <v>1.6179357198327076E-3</v>
      </c>
      <c r="AS10" s="20">
        <v>7.4813626707544113E-3</v>
      </c>
      <c r="AT10" s="20">
        <v>2.1916657364888192E-5</v>
      </c>
      <c r="AU10" s="20">
        <v>2.3092799394782773E-2</v>
      </c>
      <c r="AV10" s="20">
        <v>7.0243998287356884E-5</v>
      </c>
      <c r="AW10" s="20">
        <v>2.0000492826182142E-2</v>
      </c>
      <c r="AX10" s="20">
        <v>1.0457520059060628E-4</v>
      </c>
      <c r="AY10" s="20">
        <v>8.7881590430765235E-3</v>
      </c>
      <c r="AZ10" s="20">
        <v>5.397699966968545E-5</v>
      </c>
      <c r="BA10" s="20">
        <v>9.2971194805703484E-4</v>
      </c>
      <c r="BB10" s="20">
        <v>1.3727249211509613E-6</v>
      </c>
      <c r="BC10" s="20">
        <v>5.3671953052640074E-2</v>
      </c>
      <c r="BD10" s="20">
        <v>5.7955841945640793E-5</v>
      </c>
      <c r="BE10" s="20">
        <v>0.12801582303892023</v>
      </c>
      <c r="BF10" s="20">
        <v>1.8754330928062089E-4</v>
      </c>
      <c r="BG10" s="20">
        <v>1.4978865001333914E-6</v>
      </c>
      <c r="BH10" s="67">
        <v>1.0261114772080815E-8</v>
      </c>
      <c r="BI10" s="20">
        <v>1.2830792724982784E-2</v>
      </c>
      <c r="BJ10" s="20">
        <v>2.682408753256851E-5</v>
      </c>
      <c r="BK10" s="20">
        <v>3.8855023870546707E-2</v>
      </c>
      <c r="BL10" s="20">
        <v>3.0541754889380265E-5</v>
      </c>
      <c r="BM10" s="20">
        <v>6.138692611972015E-3</v>
      </c>
      <c r="BN10" s="20">
        <v>2.8280455468533282E-6</v>
      </c>
      <c r="BO10" s="20" t="s">
        <v>134</v>
      </c>
      <c r="BP10" s="20" t="s">
        <v>135</v>
      </c>
      <c r="BQ10" s="20">
        <v>5.7203784501636944E-4</v>
      </c>
      <c r="BR10" s="20">
        <v>4.4578773266856274E-7</v>
      </c>
      <c r="BS10" s="20" t="s">
        <v>134</v>
      </c>
      <c r="BT10" s="20" t="s">
        <v>135</v>
      </c>
      <c r="BU10" s="20">
        <v>5.0228080345177464E-2</v>
      </c>
      <c r="BV10" s="20">
        <v>4.3682116587106764E-6</v>
      </c>
      <c r="BW10" s="61"/>
      <c r="BX10" s="61"/>
      <c r="BY10" s="15"/>
      <c r="BZ10" s="18"/>
      <c r="CA10" s="18"/>
      <c r="CB10" s="18"/>
      <c r="KR10" s="16"/>
    </row>
    <row r="11" spans="1:358" s="14" customFormat="1">
      <c r="A11" s="14" t="s">
        <v>126</v>
      </c>
      <c r="B11" s="14" t="s">
        <v>19</v>
      </c>
      <c r="C11" s="14" t="s">
        <v>6</v>
      </c>
      <c r="D11" s="14">
        <v>7.5</v>
      </c>
      <c r="E11" s="16">
        <v>0.97864946623665583</v>
      </c>
      <c r="F11" s="18">
        <v>0.22096521843783853</v>
      </c>
      <c r="G11" s="18"/>
      <c r="H11" s="18"/>
      <c r="I11" s="18"/>
      <c r="Q11" s="16">
        <v>4.5303000000000004</v>
      </c>
      <c r="R11" s="16">
        <v>3.3077484789505958E-2</v>
      </c>
      <c r="S11" s="16">
        <v>0.48019999999999996</v>
      </c>
      <c r="T11" s="16">
        <v>2.9557063453597689E-2</v>
      </c>
      <c r="AA11" s="15">
        <v>5.9847782467736782E-2</v>
      </c>
      <c r="AB11" s="15">
        <v>4.3568271175106737E-3</v>
      </c>
      <c r="AC11" s="15">
        <v>0.12939929221073659</v>
      </c>
      <c r="AD11" s="15">
        <v>1.141585786999627E-3</v>
      </c>
      <c r="AE11" s="20">
        <v>0.10833353792759505</v>
      </c>
      <c r="AF11" s="20">
        <v>1.0172687037928537E-5</v>
      </c>
      <c r="AG11" s="20">
        <v>4.921392329852875E-2</v>
      </c>
      <c r="AH11" s="20">
        <v>3.5063623383809492E-4</v>
      </c>
      <c r="AI11" s="20">
        <v>3.5223182169937625E-2</v>
      </c>
      <c r="AJ11" s="20">
        <v>1.6249179807898823E-3</v>
      </c>
      <c r="AK11" s="20">
        <v>5.5045624500817594E-3</v>
      </c>
      <c r="AL11" s="20">
        <v>1.0360461205027005E-4</v>
      </c>
      <c r="AM11" s="20">
        <v>0.4459557695382117</v>
      </c>
      <c r="AN11" s="20">
        <v>9.3762015448168902E-3</v>
      </c>
      <c r="AO11" s="20">
        <v>8.2382666967762253E-2</v>
      </c>
      <c r="AP11" s="20">
        <v>1.1535461782235929E-3</v>
      </c>
      <c r="AQ11" s="20">
        <v>7.6525312366920728E-3</v>
      </c>
      <c r="AR11" s="20">
        <v>2.1628948719175467E-4</v>
      </c>
      <c r="AS11" s="20">
        <v>1.2177126341441817E-2</v>
      </c>
      <c r="AT11" s="20">
        <v>1.1687840552071982E-4</v>
      </c>
      <c r="AU11" s="20">
        <v>2.356160684192015E-2</v>
      </c>
      <c r="AV11" s="20">
        <v>8.2864274885026469E-5</v>
      </c>
      <c r="AW11" s="20">
        <v>2.7384720045489839E-2</v>
      </c>
      <c r="AX11" s="20">
        <v>2.0863813375160319E-4</v>
      </c>
      <c r="AY11" s="20">
        <v>7.4662438258102691E-3</v>
      </c>
      <c r="AZ11" s="20">
        <v>1.4012611678221651E-5</v>
      </c>
      <c r="BA11" s="20">
        <v>4.5674342121372448E-3</v>
      </c>
      <c r="BB11" s="20">
        <v>1.4295456797329608E-5</v>
      </c>
      <c r="BC11" s="20">
        <v>0.21401696318762339</v>
      </c>
      <c r="BD11" s="20">
        <v>1.8493239148751627E-4</v>
      </c>
      <c r="BE11" s="20">
        <v>0.22185719529402648</v>
      </c>
      <c r="BF11" s="20">
        <v>7.1236392247943944E-4</v>
      </c>
      <c r="BG11" s="20">
        <v>1.7834487292048966E-6</v>
      </c>
      <c r="BH11" s="67">
        <v>1.272594590797371E-8</v>
      </c>
      <c r="BI11" s="20">
        <v>7.5796911248593821E-2</v>
      </c>
      <c r="BJ11" s="20">
        <v>1.01549886494311E-4</v>
      </c>
      <c r="BK11" s="20">
        <v>3.679839416282709E-2</v>
      </c>
      <c r="BL11" s="20">
        <v>2.9031813537616092E-5</v>
      </c>
      <c r="BM11" s="20">
        <v>7.5345690075786422E-3</v>
      </c>
      <c r="BN11" s="20">
        <v>1.8325640008694958E-5</v>
      </c>
      <c r="BO11" s="20" t="s">
        <v>134</v>
      </c>
      <c r="BP11" s="20" t="s">
        <v>135</v>
      </c>
      <c r="BQ11" s="20">
        <v>2.8917525272015819E-3</v>
      </c>
      <c r="BR11" s="20">
        <v>8.1635850420916843E-6</v>
      </c>
      <c r="BS11" s="20" t="s">
        <v>134</v>
      </c>
      <c r="BT11" s="20" t="s">
        <v>135</v>
      </c>
      <c r="BU11" s="20">
        <v>0.10234945594561322</v>
      </c>
      <c r="BV11" s="20">
        <v>3.9244106194477873E-5</v>
      </c>
      <c r="BW11" s="60"/>
      <c r="BX11" s="60"/>
      <c r="BY11" s="15"/>
      <c r="BZ11" s="18"/>
      <c r="CA11" s="18"/>
      <c r="CB11" s="18"/>
      <c r="KR11" s="16"/>
    </row>
    <row r="12" spans="1:358" s="14" customFormat="1">
      <c r="A12" s="14" t="s">
        <v>126</v>
      </c>
      <c r="B12" s="14" t="s">
        <v>20</v>
      </c>
      <c r="C12" s="14" t="s">
        <v>8</v>
      </c>
      <c r="D12" s="14">
        <v>22.5</v>
      </c>
      <c r="E12" s="16">
        <v>0.99409144048785114</v>
      </c>
      <c r="F12" s="18">
        <v>0.31425371573528704</v>
      </c>
      <c r="G12" s="18"/>
      <c r="H12" s="18"/>
      <c r="I12" s="18"/>
      <c r="J12" s="16">
        <v>3.8325377049283587</v>
      </c>
      <c r="K12" s="16">
        <v>5.6515438163967799E-2</v>
      </c>
      <c r="L12" s="16">
        <v>0.35436640811819303</v>
      </c>
      <c r="M12" s="16">
        <v>2.343895269441715E-3</v>
      </c>
      <c r="N12" s="16">
        <v>-25.534101199999998</v>
      </c>
      <c r="O12" s="16">
        <v>8.6125605948521741E-2</v>
      </c>
      <c r="P12" s="21">
        <f>J12/L12</f>
        <v>10.815183429153024</v>
      </c>
      <c r="Q12" s="16">
        <v>4.1606700000000005</v>
      </c>
      <c r="R12" s="16">
        <v>8.7669046989231059E-2</v>
      </c>
      <c r="S12" s="16">
        <v>8.8829999999999992E-2</v>
      </c>
      <c r="T12" s="16">
        <v>8.4103280554327961E-2</v>
      </c>
      <c r="U12" s="15">
        <v>0.86599572797750557</v>
      </c>
      <c r="V12" s="15">
        <v>2.7931538849635699E-3</v>
      </c>
      <c r="W12" s="21">
        <v>-140.99438074740021</v>
      </c>
      <c r="X12" s="21">
        <v>2.7931538849635698</v>
      </c>
      <c r="Y12" s="14">
        <v>1155</v>
      </c>
      <c r="Z12" s="14">
        <v>30</v>
      </c>
      <c r="AA12" s="15">
        <v>4.4569767668328514E-2</v>
      </c>
      <c r="AB12" s="15">
        <v>2.4457886244342599E-3</v>
      </c>
      <c r="AC12" s="15">
        <v>0.14708782861911612</v>
      </c>
      <c r="AD12" s="15">
        <v>3.3878053913883222E-3</v>
      </c>
      <c r="AE12" s="20">
        <v>9.0303135050723141E-2</v>
      </c>
      <c r="AF12" s="20">
        <v>4.9071690787010221E-4</v>
      </c>
      <c r="AG12" s="20">
        <v>6.8718700282965797E-2</v>
      </c>
      <c r="AH12" s="20">
        <v>4.3410010820787731E-6</v>
      </c>
      <c r="AI12" s="20">
        <v>4.8178818447858922E-2</v>
      </c>
      <c r="AJ12" s="20">
        <v>1.8404212132584473E-4</v>
      </c>
      <c r="AK12" s="20">
        <v>6.4221546193445993E-3</v>
      </c>
      <c r="AL12" s="20">
        <v>1.7801793373863826E-5</v>
      </c>
      <c r="AM12" s="20">
        <v>0.25645913641648471</v>
      </c>
      <c r="AN12" s="20">
        <v>3.1226430236488273E-3</v>
      </c>
      <c r="AO12" s="20">
        <v>0.10154371864579281</v>
      </c>
      <c r="AP12" s="20">
        <v>1.3888702813517574E-3</v>
      </c>
      <c r="AQ12" s="20">
        <v>8.1545073765486066E-3</v>
      </c>
      <c r="AR12" s="20">
        <v>1.8313327730677783E-5</v>
      </c>
      <c r="AS12" s="20">
        <v>1.5009178614289336E-2</v>
      </c>
      <c r="AT12" s="20">
        <v>6.4373729566198417E-5</v>
      </c>
      <c r="AU12" s="20">
        <v>2.7042063528194486E-2</v>
      </c>
      <c r="AV12" s="20">
        <v>1.0000085394298115E-4</v>
      </c>
      <c r="AW12" s="20">
        <v>2.5757061915073817E-2</v>
      </c>
      <c r="AX12" s="20">
        <v>8.3605186327038444E-5</v>
      </c>
      <c r="AY12" s="20">
        <v>5.6081645289155673E-3</v>
      </c>
      <c r="AZ12" s="20">
        <v>1.7481621574090854E-5</v>
      </c>
      <c r="BA12" s="20">
        <v>5.3479300555111025E-3</v>
      </c>
      <c r="BB12" s="20">
        <v>1.6716920463644894E-5</v>
      </c>
      <c r="BC12" s="20">
        <v>0.13946556976944025</v>
      </c>
      <c r="BD12" s="20">
        <v>8.3485309362721913E-4</v>
      </c>
      <c r="BE12" s="20">
        <v>0.26010769956083624</v>
      </c>
      <c r="BF12" s="20">
        <v>7.0114489501527528E-5</v>
      </c>
      <c r="BG12" s="20">
        <v>1.9461236370550796E-6</v>
      </c>
      <c r="BH12" s="67">
        <v>8.8476963806760948E-9</v>
      </c>
      <c r="BI12" s="20">
        <v>4.8726484769605692E-2</v>
      </c>
      <c r="BJ12" s="20">
        <v>1.8979668792953847E-4</v>
      </c>
      <c r="BK12" s="20">
        <v>4.2033630909664992E-2</v>
      </c>
      <c r="BL12" s="20">
        <v>8.7120969767780069E-5</v>
      </c>
      <c r="BM12" s="20">
        <v>6.1888993570148919E-3</v>
      </c>
      <c r="BN12" s="20">
        <v>1.0777860270718018E-4</v>
      </c>
      <c r="BO12" s="20" t="s">
        <v>134</v>
      </c>
      <c r="BP12" s="20" t="s">
        <v>135</v>
      </c>
      <c r="BQ12" s="20">
        <v>4.1201830474001258E-3</v>
      </c>
      <c r="BR12" s="20">
        <v>1.4972423320316172E-5</v>
      </c>
      <c r="BS12" s="20" t="s">
        <v>134</v>
      </c>
      <c r="BT12" s="20" t="s">
        <v>135</v>
      </c>
      <c r="BU12" s="20">
        <v>0.11934257601735088</v>
      </c>
      <c r="BV12" s="20">
        <v>1.1046728339815183E-3</v>
      </c>
      <c r="BW12" s="18">
        <v>3.5830669828582393</v>
      </c>
      <c r="BX12" s="18">
        <v>2.0838186503612942E-3</v>
      </c>
      <c r="BY12" s="15">
        <v>1.3797573695591491E-2</v>
      </c>
      <c r="BZ12" s="18">
        <v>0.42562909405254179</v>
      </c>
      <c r="CA12" s="18">
        <v>0.17892363201078429</v>
      </c>
      <c r="CB12" s="18">
        <v>3.679406142014538E-2</v>
      </c>
      <c r="CC12" s="15">
        <v>9.9166378259939986E-2</v>
      </c>
      <c r="CD12" s="16">
        <v>2.7312773069921854</v>
      </c>
      <c r="CE12" s="16">
        <v>5.6512532457394755</v>
      </c>
      <c r="CF12" s="21">
        <v>-7.1999298630655018</v>
      </c>
      <c r="CG12" s="21">
        <v>4.2</v>
      </c>
      <c r="CH12" s="21">
        <v>0.13945127481007624</v>
      </c>
      <c r="CI12" s="21">
        <v>3.3</v>
      </c>
      <c r="CJ12" s="21">
        <v>-115.2078495812593</v>
      </c>
      <c r="CK12" s="21">
        <v>2.9</v>
      </c>
      <c r="CL12" s="15">
        <v>1.0009999999999999</v>
      </c>
      <c r="CM12" s="15">
        <v>4.1999999999999997E-3</v>
      </c>
      <c r="CN12" s="15">
        <v>1.0084</v>
      </c>
      <c r="CO12" s="15">
        <v>3.3E-3</v>
      </c>
      <c r="CP12" s="15">
        <v>0.89210000000000012</v>
      </c>
      <c r="CQ12" s="15">
        <v>2.8999999999999998E-3</v>
      </c>
      <c r="CR12" s="19" t="s">
        <v>307</v>
      </c>
      <c r="CS12" s="19"/>
      <c r="CT12" s="19" t="s">
        <v>307</v>
      </c>
      <c r="CU12" s="19"/>
      <c r="CV12" s="19">
        <v>915</v>
      </c>
      <c r="CW12" s="19">
        <v>30</v>
      </c>
      <c r="CX12" s="20">
        <v>6.9807214603979983E-10</v>
      </c>
      <c r="CY12" s="20">
        <v>2.8790464176048353E-10</v>
      </c>
      <c r="CZ12" s="20">
        <v>-2.7158576840407034E-8</v>
      </c>
      <c r="DA12" s="20">
        <v>2.979235145003046E-8</v>
      </c>
      <c r="DB12" s="20">
        <v>1.0241643510845409E-6</v>
      </c>
      <c r="DC12" s="20">
        <v>1.200279667934375E-8</v>
      </c>
      <c r="DD12" s="20">
        <v>1.2836850708127546E-8</v>
      </c>
      <c r="DE12" s="20">
        <v>1.3842424235218552E-9</v>
      </c>
      <c r="DF12" s="20">
        <v>4.0440734990668776E-7</v>
      </c>
      <c r="DG12" s="20">
        <v>9.8438426759656352E-9</v>
      </c>
      <c r="DH12" s="20">
        <v>1.8809860903408692E-7</v>
      </c>
      <c r="DI12" s="20">
        <v>3.8618626583010405E-9</v>
      </c>
      <c r="DJ12" s="20">
        <v>1.0171321267317377E-10</v>
      </c>
      <c r="DK12" s="20">
        <v>3.4191572323916833E-12</v>
      </c>
      <c r="DL12" s="20" t="s">
        <v>134</v>
      </c>
      <c r="DM12" s="20" t="s">
        <v>134</v>
      </c>
      <c r="DN12" s="20">
        <v>3.5879713334097203E-8</v>
      </c>
      <c r="DO12" s="20">
        <v>5.0505971709417955E-10</v>
      </c>
      <c r="DP12" s="20">
        <v>8.0043703157825822E-6</v>
      </c>
      <c r="DQ12" s="20">
        <v>1.3734156530194615E-7</v>
      </c>
      <c r="DR12" s="20">
        <v>4.6452835601049374E-8</v>
      </c>
      <c r="DS12" s="20">
        <v>6.2693558401942256E-10</v>
      </c>
      <c r="DT12" s="20" t="s">
        <v>134</v>
      </c>
      <c r="DU12" s="20" t="s">
        <v>134</v>
      </c>
      <c r="DV12" s="20" t="s">
        <v>134</v>
      </c>
      <c r="DW12" s="20" t="s">
        <v>134</v>
      </c>
      <c r="DX12" s="20">
        <v>8.2144865540429145E-10</v>
      </c>
      <c r="DY12" s="20">
        <v>1.9653691835926767E-11</v>
      </c>
      <c r="DZ12" s="20" t="s">
        <v>134</v>
      </c>
      <c r="EA12" s="20" t="s">
        <v>134</v>
      </c>
      <c r="EB12" s="20">
        <v>4.1647101972375968E-11</v>
      </c>
      <c r="EC12" s="20">
        <v>8.1181936546780709E-12</v>
      </c>
      <c r="ED12" s="20">
        <v>-2.2205887277996421E-10</v>
      </c>
      <c r="EE12" s="20">
        <v>4.7741140152334616E-11</v>
      </c>
      <c r="EF12" s="20">
        <v>3.2023140244597682E-11</v>
      </c>
      <c r="EG12" s="20">
        <v>8.0377080247998317E-13</v>
      </c>
      <c r="EH12" s="20">
        <v>1.4710978784011494E-8</v>
      </c>
      <c r="EI12" s="20">
        <v>2.2584882650989515E-10</v>
      </c>
      <c r="EJ12" s="20">
        <v>2.2427270004010182E-10</v>
      </c>
      <c r="EK12" s="20">
        <v>5.0464922487290474E-12</v>
      </c>
      <c r="EL12" s="20">
        <v>2.1933779619235259E-9</v>
      </c>
      <c r="EM12" s="20">
        <v>2.1347075204533406E-11</v>
      </c>
      <c r="EN12" s="20" t="s">
        <v>134</v>
      </c>
      <c r="EO12" s="20" t="s">
        <v>134</v>
      </c>
      <c r="EP12" s="20" t="s">
        <v>134</v>
      </c>
      <c r="EQ12" s="20" t="s">
        <v>134</v>
      </c>
      <c r="ER12" s="20" t="s">
        <v>134</v>
      </c>
      <c r="ES12" s="20" t="s">
        <v>134</v>
      </c>
      <c r="ET12" s="20" t="s">
        <v>134</v>
      </c>
      <c r="EU12" s="20" t="s">
        <v>134</v>
      </c>
      <c r="EV12" s="20">
        <v>1.0894315447139172E-11</v>
      </c>
      <c r="EW12" s="20">
        <v>2.2106026502104614E-13</v>
      </c>
      <c r="EX12" s="20">
        <v>3.9559215697319888E-9</v>
      </c>
      <c r="EY12" s="20">
        <v>3.2452564300772889E-11</v>
      </c>
      <c r="EZ12" s="20" t="s">
        <v>134</v>
      </c>
      <c r="FA12" s="20" t="s">
        <v>134</v>
      </c>
      <c r="FB12" s="20">
        <v>-3.6168384297285307E-11</v>
      </c>
      <c r="FC12" s="20">
        <v>2.0192743621682697E-12</v>
      </c>
      <c r="FD12" s="20" t="s">
        <v>134</v>
      </c>
      <c r="FE12" s="20" t="s">
        <v>134</v>
      </c>
      <c r="FF12" s="20" t="s">
        <v>134</v>
      </c>
      <c r="FG12" s="20" t="s">
        <v>134</v>
      </c>
      <c r="FH12" s="20">
        <v>1.862544561076239E-8</v>
      </c>
      <c r="FI12" s="20">
        <v>1.0983252254227912E-9</v>
      </c>
      <c r="FJ12" s="20">
        <v>5.3338132745035132E-10</v>
      </c>
      <c r="FK12" s="20">
        <v>1.2266675693228433E-11</v>
      </c>
      <c r="FL12" s="20">
        <v>4.2919752877445719E-4</v>
      </c>
      <c r="FM12" s="20">
        <v>1.3537373064312994E-5</v>
      </c>
      <c r="FN12" s="20">
        <v>0.16384068407618294</v>
      </c>
      <c r="FO12" s="20">
        <v>8.4775688209699838E-4</v>
      </c>
      <c r="FP12" s="20">
        <v>7.4328399804413664E-2</v>
      </c>
      <c r="FQ12" s="20">
        <v>8.6982919800351508E-4</v>
      </c>
      <c r="FR12" s="20">
        <v>4.8129707685098735E-3</v>
      </c>
      <c r="FS12" s="20">
        <v>5.856214849577881E-5</v>
      </c>
      <c r="FT12" s="20">
        <v>7.2023242682649619E-2</v>
      </c>
      <c r="FU12" s="20">
        <v>3.3176426717728791E-4</v>
      </c>
      <c r="FV12" s="20">
        <v>1.7663766264649026E-2</v>
      </c>
      <c r="FW12" s="20">
        <v>2.7153216383377597E-4</v>
      </c>
      <c r="FX12" s="20">
        <v>7.3718187644594715E-6</v>
      </c>
      <c r="FY12" s="20">
        <v>2.4780858633747683E-7</v>
      </c>
      <c r="FZ12" s="20" t="s">
        <v>134</v>
      </c>
      <c r="GA12" s="20" t="s">
        <v>134</v>
      </c>
      <c r="GB12" s="20">
        <v>2.6004364336579878E-3</v>
      </c>
      <c r="GC12" s="20">
        <v>3.660496607860503E-5</v>
      </c>
      <c r="GD12" s="20">
        <v>0.58130594168948602</v>
      </c>
      <c r="GE12" s="20">
        <v>9.9539897467684491E-3</v>
      </c>
      <c r="GF12" s="20">
        <v>3.3667394446236353E-3</v>
      </c>
      <c r="GG12" s="20">
        <v>4.5438103673237625E-5</v>
      </c>
      <c r="GH12" s="20" t="s">
        <v>134</v>
      </c>
      <c r="GI12" s="20" t="s">
        <v>134</v>
      </c>
      <c r="GJ12" s="20" t="s">
        <v>134</v>
      </c>
      <c r="GK12" s="20" t="s">
        <v>134</v>
      </c>
      <c r="GL12" s="20">
        <v>5.95357324068329E-5</v>
      </c>
      <c r="GM12" s="20">
        <v>1.4244310100845037E-6</v>
      </c>
      <c r="GN12" s="20" t="s">
        <v>134</v>
      </c>
      <c r="GO12" s="20" t="s">
        <v>134</v>
      </c>
      <c r="GP12" s="20">
        <v>2.8548370810074278E-5</v>
      </c>
      <c r="GQ12" s="20">
        <v>5.1754401762024933E-7</v>
      </c>
      <c r="GR12" s="20">
        <v>4.4155827504114988E-5</v>
      </c>
      <c r="GS12" s="20">
        <v>2.7755901610731912E-6</v>
      </c>
      <c r="GT12" s="20">
        <v>2.3209254721958473E-6</v>
      </c>
      <c r="GU12" s="20">
        <v>5.8254503307113962E-8</v>
      </c>
      <c r="GV12" s="20">
        <v>1.0662004138243413E-3</v>
      </c>
      <c r="GW12" s="20">
        <v>1.6368734930697045E-5</v>
      </c>
      <c r="GX12" s="20">
        <v>1.6254502783468366E-5</v>
      </c>
      <c r="GY12" s="20">
        <v>3.6575215034665619E-7</v>
      </c>
      <c r="GZ12" s="20">
        <v>1.5896838171078871E-4</v>
      </c>
      <c r="HA12" s="20">
        <v>1.5471615282152166E-6</v>
      </c>
      <c r="HB12" s="20" t="s">
        <v>134</v>
      </c>
      <c r="HC12" s="20" t="s">
        <v>134</v>
      </c>
      <c r="HD12" s="20" t="s">
        <v>134</v>
      </c>
      <c r="HE12" s="20" t="s">
        <v>134</v>
      </c>
      <c r="HF12" s="20" t="s">
        <v>134</v>
      </c>
      <c r="HG12" s="20" t="s">
        <v>134</v>
      </c>
      <c r="HH12" s="20" t="s">
        <v>134</v>
      </c>
      <c r="HI12" s="20" t="s">
        <v>134</v>
      </c>
      <c r="HJ12" s="20">
        <v>7.8958197198251244E-7</v>
      </c>
      <c r="HK12" s="20">
        <v>1.6021676701873886E-8</v>
      </c>
      <c r="HL12" s="20">
        <v>3.0527666149368925E-4</v>
      </c>
      <c r="HM12" s="20">
        <v>2.3300746818240558E-6</v>
      </c>
      <c r="HN12" s="20" t="s">
        <v>134</v>
      </c>
      <c r="HO12" s="20" t="s">
        <v>134</v>
      </c>
      <c r="HP12" s="20">
        <v>4.972274439062511E-6</v>
      </c>
      <c r="HQ12" s="20">
        <v>9.9445303190804775E-8</v>
      </c>
      <c r="HR12" s="20" t="s">
        <v>134</v>
      </c>
      <c r="HS12" s="20" t="s">
        <v>134</v>
      </c>
      <c r="HT12" s="20" t="s">
        <v>134</v>
      </c>
      <c r="HU12" s="20" t="s">
        <v>134</v>
      </c>
      <c r="HV12" s="20">
        <v>2.3858235936669572E-3</v>
      </c>
      <c r="HW12" s="20">
        <v>6.3822869597755729E-5</v>
      </c>
      <c r="HX12" s="20">
        <v>3.8657617579587479E-5</v>
      </c>
      <c r="HY12" s="20">
        <v>8.89045854282902E-7</v>
      </c>
      <c r="HZ12" s="20" t="s">
        <v>134</v>
      </c>
      <c r="IA12" s="20" t="s">
        <v>134</v>
      </c>
      <c r="IB12" s="20">
        <v>2.6729414325981882</v>
      </c>
      <c r="IC12" s="20">
        <v>1.6161578863212664E-2</v>
      </c>
      <c r="ID12" s="20">
        <v>9.8826020824371508</v>
      </c>
      <c r="IE12" s="20">
        <v>8.4358570770382169E-2</v>
      </c>
      <c r="IF12" s="20">
        <v>2.694261032169111E-2</v>
      </c>
      <c r="IG12" s="20">
        <v>6.3377493692772261E-3</v>
      </c>
      <c r="IH12" s="20">
        <v>0.35508727443166638</v>
      </c>
      <c r="II12" s="20">
        <v>1.3065253706713928E-2</v>
      </c>
      <c r="IJ12" s="20">
        <v>1.0947285099900688</v>
      </c>
      <c r="IK12" s="20">
        <v>3.2700719845618793E-2</v>
      </c>
      <c r="IL12" s="20">
        <v>0.13262334276855145</v>
      </c>
      <c r="IM12" s="20">
        <v>8.4430702827124216E-3</v>
      </c>
      <c r="IN12" s="20">
        <v>4.3502825560164243E-3</v>
      </c>
      <c r="IO12" s="20">
        <v>6.1163475467228984E-4</v>
      </c>
      <c r="IP12" s="20">
        <v>2.5793898648351812E-2</v>
      </c>
      <c r="IQ12" s="20">
        <v>7.4729667586223136E-4</v>
      </c>
      <c r="IR12" s="20">
        <v>7.6289436326474292E-3</v>
      </c>
      <c r="IS12" s="20">
        <v>7.2517976709094724E-4</v>
      </c>
      <c r="IT12" s="20">
        <v>1.2329371493449721</v>
      </c>
      <c r="IU12" s="20">
        <v>1.78653142488998E-2</v>
      </c>
      <c r="IV12" s="20">
        <v>0.9267317452616094</v>
      </c>
      <c r="IW12" s="20">
        <v>5.1974469701057679E-3</v>
      </c>
      <c r="IX12" s="20">
        <v>5.3716396826095081E-2</v>
      </c>
      <c r="IY12" s="20">
        <v>6.6494426578909459E-3</v>
      </c>
      <c r="IZ12" s="20">
        <v>0.12857479525938736</v>
      </c>
      <c r="JA12" s="20">
        <v>3.0673222005205988E-3</v>
      </c>
      <c r="JB12" s="20">
        <v>5.4968596227776396E-2</v>
      </c>
      <c r="JC12" s="20">
        <v>1.3530415893322255E-3</v>
      </c>
      <c r="JD12" s="20">
        <v>1.5408063871663045E-3</v>
      </c>
      <c r="JE12" s="20">
        <v>7.1312293854006246E-4</v>
      </c>
      <c r="JF12" s="20">
        <v>2.376367101568265E-2</v>
      </c>
      <c r="JG12" s="20">
        <v>9.8385731889044409E-4</v>
      </c>
      <c r="JH12" s="20">
        <v>9.8980658608901016E-3</v>
      </c>
      <c r="JI12" s="20">
        <v>2.0233571812453542E-3</v>
      </c>
      <c r="JJ12" s="20">
        <v>8.1216773076690205E-5</v>
      </c>
      <c r="JK12" s="20">
        <v>3.7042193820339416E-4</v>
      </c>
      <c r="JL12" s="20">
        <v>1.5342457729080963E-2</v>
      </c>
      <c r="JM12" s="20">
        <v>3.1592293937115183E-4</v>
      </c>
      <c r="JN12" s="20">
        <v>9.3166311986024909E-3</v>
      </c>
      <c r="JO12" s="20">
        <v>4.7593131730170739E-4</v>
      </c>
      <c r="JP12" s="20">
        <v>2.7546383144583672E-2</v>
      </c>
      <c r="JQ12" s="20">
        <v>5.5861399204576651E-4</v>
      </c>
      <c r="JR12" s="20" t="s">
        <v>134</v>
      </c>
      <c r="JS12" s="20" t="s">
        <v>134</v>
      </c>
      <c r="JT12" s="20" t="s">
        <v>134</v>
      </c>
      <c r="JU12" s="20" t="s">
        <v>134</v>
      </c>
      <c r="JV12" s="20">
        <v>2.3092718038585281E-4</v>
      </c>
      <c r="JW12" s="20">
        <v>1.8307489105272657E-5</v>
      </c>
      <c r="JX12" s="20">
        <v>6.7839156618141735E-3</v>
      </c>
      <c r="JY12" s="20">
        <v>3.6703453165753828E-4</v>
      </c>
      <c r="JZ12" s="20" t="s">
        <v>134</v>
      </c>
      <c r="KA12" s="20" t="s">
        <v>134</v>
      </c>
      <c r="KB12" s="20">
        <v>0.16937029593274908</v>
      </c>
      <c r="KC12" s="20">
        <v>1.5505054315381123E-3</v>
      </c>
      <c r="KD12" s="20">
        <v>1.8061871514997506E-4</v>
      </c>
      <c r="KE12" s="20">
        <v>6.0646475497823941E-6</v>
      </c>
      <c r="KF12" s="20">
        <v>1.7513483303240505E-2</v>
      </c>
      <c r="KG12" s="20">
        <v>5.1177505433803536E-5</v>
      </c>
      <c r="KH12" s="20" t="s">
        <v>134</v>
      </c>
      <c r="KI12" s="20" t="s">
        <v>134</v>
      </c>
      <c r="KJ12" s="20">
        <v>7.7539606740653288E-5</v>
      </c>
      <c r="KK12" s="20">
        <v>1.2495087599515885E-4</v>
      </c>
      <c r="KL12" s="20">
        <v>4.3586645156630519</v>
      </c>
      <c r="KM12" s="20">
        <v>6.2877974876732884E-2</v>
      </c>
      <c r="KN12" s="20">
        <v>9.4436521183502656E-3</v>
      </c>
      <c r="KO12" s="20">
        <v>2.5175249336268366E-4</v>
      </c>
      <c r="KP12" s="46">
        <v>4.2762651899707809E-3</v>
      </c>
      <c r="KQ12" s="15">
        <v>2.1545403271291591E-2</v>
      </c>
      <c r="KR12" s="16">
        <v>0.96003178998102845</v>
      </c>
      <c r="KS12" s="16">
        <v>31.691395227108867</v>
      </c>
      <c r="KT12" s="16">
        <v>0.15169380794165357</v>
      </c>
      <c r="KU12" s="16">
        <v>31.562991631606089</v>
      </c>
      <c r="KV12" s="16">
        <v>0.47530520373477692</v>
      </c>
      <c r="KW12" s="16">
        <v>2.4073204337508169</v>
      </c>
      <c r="KX12" s="16">
        <v>4.9259421287680009E-2</v>
      </c>
      <c r="KY12" s="16">
        <v>0.94718983417447733</v>
      </c>
      <c r="KZ12" s="16">
        <v>9.1993215744764247E-3</v>
      </c>
      <c r="LA12" s="16">
        <v>1.5246726485334747</v>
      </c>
      <c r="LB12" s="16">
        <v>1.6562772202298086E-3</v>
      </c>
      <c r="LC12" s="18">
        <v>0.2635827430508238</v>
      </c>
      <c r="LD12" s="18">
        <v>4.1433600157823517E-4</v>
      </c>
      <c r="LE12" s="16">
        <v>33.458335471610589</v>
      </c>
      <c r="LF12" s="16">
        <v>0.36227637874945595</v>
      </c>
      <c r="LG12" s="16">
        <v>20.701487405814845</v>
      </c>
      <c r="LH12" s="16">
        <v>0.31255253763498192</v>
      </c>
      <c r="LI12" s="16">
        <v>9.1330729997245665</v>
      </c>
      <c r="LJ12" s="16">
        <v>0.18743472552994797</v>
      </c>
      <c r="LK12" s="16">
        <v>-26.806592684999998</v>
      </c>
      <c r="LL12" s="16">
        <v>1.8109223869290453E-2</v>
      </c>
      <c r="LM12" s="16">
        <v>-25.680135500000002</v>
      </c>
      <c r="LN12" s="16">
        <v>3.1096703616818485E-2</v>
      </c>
      <c r="LO12" s="16">
        <v>-25.573319699999999</v>
      </c>
      <c r="LP12" s="16">
        <v>5.5770926045738195E-3</v>
      </c>
      <c r="LQ12" s="21">
        <v>96.047310198128287</v>
      </c>
      <c r="LR12" s="21">
        <v>3.2</v>
      </c>
      <c r="LS12" s="21">
        <v>28.207625085874266</v>
      </c>
      <c r="LT12" s="21">
        <v>3.1</v>
      </c>
      <c r="LU12" s="21">
        <v>-228.05579361740379</v>
      </c>
      <c r="LV12" s="21">
        <v>2.4</v>
      </c>
      <c r="LW12" s="50">
        <v>1.1051</v>
      </c>
      <c r="LX12" s="50">
        <v>3.2000000000000002E-3</v>
      </c>
      <c r="LY12" s="50">
        <v>1.0367</v>
      </c>
      <c r="LZ12" s="50">
        <v>3.0999999999999999E-3</v>
      </c>
      <c r="MA12" s="51">
        <v>0.7783199999999999</v>
      </c>
      <c r="MB12" s="51">
        <v>2.3999999999999998E-3</v>
      </c>
      <c r="MC12" s="19" t="s">
        <v>307</v>
      </c>
      <c r="MD12" s="19"/>
      <c r="ME12" s="19" t="s">
        <v>307</v>
      </c>
      <c r="MF12" s="19"/>
      <c r="MG12" s="19">
        <v>2015</v>
      </c>
      <c r="MH12" s="19">
        <v>25</v>
      </c>
      <c r="MI12" s="18">
        <v>0.13552081023129178</v>
      </c>
      <c r="MJ12" s="18">
        <v>6.4868295043500623E-4</v>
      </c>
      <c r="MK12" s="18">
        <v>0.68003738315135498</v>
      </c>
      <c r="ML12" s="18">
        <v>1.0240642291409177E-2</v>
      </c>
      <c r="MM12" s="18">
        <v>2.3111041450717025</v>
      </c>
      <c r="MN12" s="18">
        <v>4.7290610392241021E-2</v>
      </c>
      <c r="MO12" s="46">
        <v>4.0504349161745133E-3</v>
      </c>
      <c r="MP12" s="46">
        <v>3.933873862028073E-5</v>
      </c>
      <c r="MQ12" s="46">
        <v>3.2849687069361942E-2</v>
      </c>
      <c r="MR12" s="46">
        <v>3.5685160638905059E-5</v>
      </c>
      <c r="MS12" s="18">
        <v>0.25304781261919185</v>
      </c>
      <c r="MT12" s="18">
        <v>3.9777573324873523E-4</v>
      </c>
    </row>
    <row r="13" spans="1:358" s="14" customFormat="1">
      <c r="A13" s="14" t="s">
        <v>126</v>
      </c>
      <c r="B13" s="14" t="s">
        <v>21</v>
      </c>
      <c r="C13" s="14" t="s">
        <v>10</v>
      </c>
      <c r="D13" s="14">
        <v>37.5</v>
      </c>
      <c r="E13" s="16">
        <v>0.99694291481314545</v>
      </c>
      <c r="F13" s="18">
        <v>0.437364149327791</v>
      </c>
      <c r="G13" s="18"/>
      <c r="H13" s="18"/>
      <c r="I13" s="18"/>
      <c r="Q13" s="16">
        <v>3.0733199999999998</v>
      </c>
      <c r="R13" s="16">
        <v>4.4566312389516617E-2</v>
      </c>
      <c r="S13" s="16">
        <v>1.1799999999999998E-3</v>
      </c>
      <c r="T13" s="16">
        <v>1.2869343417595167E-3</v>
      </c>
      <c r="AA13" s="15">
        <v>3.1280112251161271E-2</v>
      </c>
      <c r="AB13" s="15">
        <v>2.1698928454250973E-2</v>
      </c>
      <c r="AC13" s="15">
        <v>0.1146097249994911</v>
      </c>
      <c r="AD13" s="15">
        <v>1.6112817977691596E-2</v>
      </c>
      <c r="AE13" s="20">
        <v>5.1253441509632014E-2</v>
      </c>
      <c r="AF13" s="20">
        <v>4.8775598111189819E-3</v>
      </c>
      <c r="AG13" s="20">
        <v>8.8981131664202393E-2</v>
      </c>
      <c r="AH13" s="20">
        <v>2.0784179652004048E-3</v>
      </c>
      <c r="AI13" s="20">
        <v>5.5065813348441288E-2</v>
      </c>
      <c r="AJ13" s="20">
        <v>1.3322639926056691E-3</v>
      </c>
      <c r="AK13" s="20">
        <v>1.0842967855883071E-2</v>
      </c>
      <c r="AL13" s="20">
        <v>3.4000114344406238E-3</v>
      </c>
      <c r="AM13" s="20">
        <v>0.17243017572474539</v>
      </c>
      <c r="AN13" s="20">
        <v>1.1035581150617065E-2</v>
      </c>
      <c r="AO13" s="20">
        <v>0.11399083398410614</v>
      </c>
      <c r="AP13" s="20">
        <v>8.3893867296337132E-3</v>
      </c>
      <c r="AQ13" s="20">
        <v>7.2554378178983463E-3</v>
      </c>
      <c r="AR13" s="20">
        <v>8.6055083518922601E-4</v>
      </c>
      <c r="AS13" s="20">
        <v>1.6076473993855089E-2</v>
      </c>
      <c r="AT13" s="20">
        <v>7.7233689024525543E-5</v>
      </c>
      <c r="AU13" s="20">
        <v>3.301533972942515E-2</v>
      </c>
      <c r="AV13" s="20">
        <v>3.052608986418736E-4</v>
      </c>
      <c r="AW13" s="20">
        <v>2.6253504157230188E-2</v>
      </c>
      <c r="AX13" s="20">
        <v>9.5013656945054596E-5</v>
      </c>
      <c r="AY13" s="20">
        <v>4.6881177349875798E-3</v>
      </c>
      <c r="AZ13" s="20">
        <v>1.7671874373572177E-5</v>
      </c>
      <c r="BA13" s="20">
        <v>8.3751914733727912E-3</v>
      </c>
      <c r="BB13" s="20">
        <v>1.2544102529054591E-5</v>
      </c>
      <c r="BC13" s="20">
        <v>0.11334190631553316</v>
      </c>
      <c r="BD13" s="20">
        <v>2.0698715136006972E-4</v>
      </c>
      <c r="BE13" s="20">
        <v>0.27711862816372546</v>
      </c>
      <c r="BF13" s="20">
        <v>1.5297559439846103E-4</v>
      </c>
      <c r="BG13" s="20">
        <v>2.265278450276085E-6</v>
      </c>
      <c r="BH13" s="67">
        <v>1.2451939315735237E-8</v>
      </c>
      <c r="BI13" s="20">
        <v>9.097101035058992E-3</v>
      </c>
      <c r="BJ13" s="20">
        <v>1.0683267420190651E-5</v>
      </c>
      <c r="BK13" s="20">
        <v>4.6234497530342568E-2</v>
      </c>
      <c r="BL13" s="20">
        <v>2.0453466600220974E-4</v>
      </c>
      <c r="BM13" s="20">
        <v>4.5933975225577349E-3</v>
      </c>
      <c r="BN13" s="20">
        <v>2.8916033408278271E-4</v>
      </c>
      <c r="BO13" s="20" t="s">
        <v>134</v>
      </c>
      <c r="BP13" s="20" t="s">
        <v>135</v>
      </c>
      <c r="BQ13" s="20">
        <v>6.3372427915059197E-3</v>
      </c>
      <c r="BR13" s="20">
        <v>1.380113783322775E-5</v>
      </c>
      <c r="BS13" s="20" t="s">
        <v>134</v>
      </c>
      <c r="BT13" s="20" t="s">
        <v>135</v>
      </c>
      <c r="BU13" s="20">
        <v>9.2510828578027532E-2</v>
      </c>
      <c r="BV13" s="20">
        <v>1.3479157085616352E-4</v>
      </c>
      <c r="BY13" s="15"/>
      <c r="BZ13" s="18"/>
      <c r="CA13" s="18"/>
      <c r="CB13" s="18"/>
      <c r="KR13" s="16"/>
    </row>
    <row r="14" spans="1:358" s="14" customFormat="1">
      <c r="A14" s="14" t="s">
        <v>126</v>
      </c>
      <c r="B14" s="14" t="s">
        <v>22</v>
      </c>
      <c r="C14" s="14" t="s">
        <v>23</v>
      </c>
      <c r="D14" s="14">
        <v>52.5</v>
      </c>
      <c r="E14" s="16">
        <v>0.99741292040043494</v>
      </c>
      <c r="F14" s="18">
        <v>0.6544450852764272</v>
      </c>
      <c r="G14" s="18"/>
      <c r="H14" s="18"/>
      <c r="I14" s="18"/>
      <c r="J14" s="16">
        <v>1.4694686250368414</v>
      </c>
      <c r="K14" s="16">
        <v>1.3696361100156079E-2</v>
      </c>
      <c r="L14" s="16">
        <v>0.16405479743795628</v>
      </c>
      <c r="M14" s="16">
        <v>3.4907119685387565E-4</v>
      </c>
      <c r="N14" s="16">
        <v>-25.233011600000001</v>
      </c>
      <c r="O14" s="16">
        <v>9.7149683509932958E-2</v>
      </c>
      <c r="P14" s="21">
        <f>J14/L14</f>
        <v>8.9571816733526379</v>
      </c>
      <c r="Q14" s="16">
        <v>1.7481500000000001</v>
      </c>
      <c r="R14" s="16">
        <v>2.1601041641550543E-2</v>
      </c>
      <c r="S14" s="16">
        <v>0.12485</v>
      </c>
      <c r="T14" s="16">
        <v>1.3364318164425749E-2</v>
      </c>
      <c r="U14" s="15">
        <v>0.48557062396063472</v>
      </c>
      <c r="V14" s="15">
        <v>1.7457666328643303E-3</v>
      </c>
      <c r="W14" s="21">
        <v>-518.34878504503342</v>
      </c>
      <c r="X14" s="21">
        <v>1.7457666328643304</v>
      </c>
      <c r="Y14" s="14">
        <v>5805</v>
      </c>
      <c r="Z14" s="14">
        <v>30</v>
      </c>
      <c r="AA14" s="15">
        <v>3.2466352964499776E-2</v>
      </c>
      <c r="AB14" s="15">
        <v>2.9664069775128653E-3</v>
      </c>
      <c r="AC14" s="15">
        <v>3.5706852981255664E-2</v>
      </c>
      <c r="AD14" s="15">
        <v>3.0300100996739632E-3</v>
      </c>
      <c r="AE14" s="20">
        <v>7.1941216877731834E-2</v>
      </c>
      <c r="AF14" s="20">
        <v>9.9913853967917576E-3</v>
      </c>
      <c r="AG14" s="20">
        <v>6.7721366313514095E-2</v>
      </c>
      <c r="AH14" s="20">
        <v>1.1387529705250874E-3</v>
      </c>
      <c r="AI14" s="20">
        <v>4.8048073537327415E-2</v>
      </c>
      <c r="AJ14" s="20">
        <v>3.8649594322681251E-4</v>
      </c>
      <c r="AK14" s="20">
        <v>4.3417095101617601E-3</v>
      </c>
      <c r="AL14" s="20">
        <v>2.0246495427097794E-3</v>
      </c>
      <c r="AM14" s="20">
        <v>0.43454438649064386</v>
      </c>
      <c r="AN14" s="20">
        <v>8.7966483997490588E-2</v>
      </c>
      <c r="AO14" s="20">
        <v>7.3594832291621726E-2</v>
      </c>
      <c r="AP14" s="20">
        <v>1.6223917620179985E-2</v>
      </c>
      <c r="AQ14" s="20">
        <v>9.378562749575825E-3</v>
      </c>
      <c r="AR14" s="20">
        <v>1.326503640004613E-3</v>
      </c>
      <c r="AS14" s="20">
        <v>1.0330752155564216E-2</v>
      </c>
      <c r="AT14" s="20">
        <v>6.5213933830554741E-5</v>
      </c>
      <c r="AU14" s="20">
        <v>2.7533310807412659E-2</v>
      </c>
      <c r="AV14" s="20">
        <v>5.5471277394249333E-5</v>
      </c>
      <c r="AW14" s="20">
        <v>2.3614114841261941E-2</v>
      </c>
      <c r="AX14" s="20">
        <v>4.5874219804259532E-5</v>
      </c>
      <c r="AY14" s="20">
        <v>1.3197355497366484E-2</v>
      </c>
      <c r="AZ14" s="20">
        <v>6.9012974019611327E-5</v>
      </c>
      <c r="BA14" s="20">
        <v>2.519282357018887E-3</v>
      </c>
      <c r="BB14" s="20">
        <v>1.8325466361243184E-6</v>
      </c>
      <c r="BC14" s="20">
        <v>0.16069227804780434</v>
      </c>
      <c r="BD14" s="20">
        <v>2.7427143399091805E-4</v>
      </c>
      <c r="BE14" s="20">
        <v>0.30651509980560521</v>
      </c>
      <c r="BF14" s="20">
        <v>3.7559780310066217E-4</v>
      </c>
      <c r="BG14" s="20">
        <v>1.4575666283511194E-6</v>
      </c>
      <c r="BH14" s="67">
        <v>7.2727187933485221E-9</v>
      </c>
      <c r="BI14" s="20">
        <v>1.9376508159017106E-2</v>
      </c>
      <c r="BJ14" s="20">
        <v>5.4700626472656399E-5</v>
      </c>
      <c r="BK14" s="20">
        <v>2.6244124679831015E-2</v>
      </c>
      <c r="BL14" s="20">
        <v>5.3512552956433251E-5</v>
      </c>
      <c r="BM14" s="20" t="s">
        <v>134</v>
      </c>
      <c r="BN14" s="20" t="s">
        <v>135</v>
      </c>
      <c r="BO14" s="20" t="s">
        <v>134</v>
      </c>
      <c r="BP14" s="20" t="s">
        <v>135</v>
      </c>
      <c r="BQ14" s="20">
        <v>9.7206681775989805E-4</v>
      </c>
      <c r="BR14" s="20">
        <v>2.8277225333560333E-6</v>
      </c>
      <c r="BS14" s="20" t="s">
        <v>134</v>
      </c>
      <c r="BT14" s="20" t="s">
        <v>135</v>
      </c>
      <c r="BU14" s="20">
        <v>4.026845096870086E-2</v>
      </c>
      <c r="BV14" s="20">
        <v>2.6789396562918991E-5</v>
      </c>
      <c r="BW14" s="18">
        <v>0.16887555713018271</v>
      </c>
      <c r="BX14" s="18">
        <v>7.9708045789523424E-3</v>
      </c>
      <c r="BY14" s="15">
        <v>3.2768711962108802E-3</v>
      </c>
      <c r="BZ14" s="18">
        <v>0.13880301132319128</v>
      </c>
      <c r="CA14" s="18">
        <v>7.6639760837901277E-2</v>
      </c>
      <c r="CB14" s="18">
        <v>2.0819164303542571E-2</v>
      </c>
      <c r="CC14" s="15">
        <v>6.1990122945196215E-2</v>
      </c>
      <c r="CD14" s="16">
        <v>0.8392950003906875</v>
      </c>
      <c r="CE14" s="16">
        <v>5.8464937997274307</v>
      </c>
      <c r="CF14" s="21">
        <v>-344.81146220533554</v>
      </c>
      <c r="CG14" s="21">
        <v>3.6</v>
      </c>
      <c r="CH14" s="21">
        <v>-144.6645549589486</v>
      </c>
      <c r="CI14" s="21">
        <v>2.2000000000000002</v>
      </c>
      <c r="CJ14" s="21">
        <v>-457.38169992815494</v>
      </c>
      <c r="CK14" s="21">
        <v>1.1000000000000001</v>
      </c>
      <c r="CL14" s="15">
        <v>0.66060000000000008</v>
      </c>
      <c r="CM14" s="15">
        <v>3.5999999999999999E-3</v>
      </c>
      <c r="CN14" s="15">
        <v>0.86240000000000006</v>
      </c>
      <c r="CO14" s="15">
        <v>2.2000000000000001E-3</v>
      </c>
      <c r="CP14" s="15">
        <v>0.54710000000000003</v>
      </c>
      <c r="CQ14" s="15">
        <v>1.1000000000000001E-3</v>
      </c>
      <c r="CR14" s="19">
        <v>3330</v>
      </c>
      <c r="CS14" s="19">
        <v>45</v>
      </c>
      <c r="CT14" s="19">
        <v>1190</v>
      </c>
      <c r="CU14" s="19">
        <v>25</v>
      </c>
      <c r="CV14" s="19">
        <v>4845</v>
      </c>
      <c r="CW14" s="19">
        <v>20</v>
      </c>
      <c r="CX14" s="20">
        <v>5.1140836704664538E-10</v>
      </c>
      <c r="CY14" s="20">
        <v>3.118889366399715E-10</v>
      </c>
      <c r="CZ14" s="20">
        <v>-9.4298555991323306E-8</v>
      </c>
      <c r="DA14" s="20">
        <v>4.7907275329265177E-8</v>
      </c>
      <c r="DB14" s="20">
        <v>1.0760036281520136E-6</v>
      </c>
      <c r="DC14" s="20">
        <v>1.6955808497272991E-8</v>
      </c>
      <c r="DD14" s="20">
        <v>4.0211294406650261E-9</v>
      </c>
      <c r="DE14" s="20">
        <v>1.6236508498635995E-9</v>
      </c>
      <c r="DF14" s="20">
        <v>1.7992378688419377E-7</v>
      </c>
      <c r="DG14" s="20">
        <v>1.2682969502135551E-8</v>
      </c>
      <c r="DH14" s="20">
        <v>1.5436256167635873E-7</v>
      </c>
      <c r="DI14" s="20">
        <v>4.6117491848314701E-9</v>
      </c>
      <c r="DJ14" s="20" t="s">
        <v>134</v>
      </c>
      <c r="DK14" s="20" t="s">
        <v>134</v>
      </c>
      <c r="DL14" s="20" t="s">
        <v>134</v>
      </c>
      <c r="DM14" s="20" t="s">
        <v>134</v>
      </c>
      <c r="DN14" s="20">
        <v>1.6677714758827115E-8</v>
      </c>
      <c r="DO14" s="20">
        <v>3.3340766948630745E-10</v>
      </c>
      <c r="DP14" s="20">
        <v>9.5427333022347061E-6</v>
      </c>
      <c r="DQ14" s="20">
        <v>6.4438214688176199E-8</v>
      </c>
      <c r="DR14" s="20">
        <v>2.5661438363192846E-9</v>
      </c>
      <c r="DS14" s="20">
        <v>5.6479606040966831E-11</v>
      </c>
      <c r="DT14" s="20" t="s">
        <v>134</v>
      </c>
      <c r="DU14" s="20" t="s">
        <v>134</v>
      </c>
      <c r="DV14" s="20" t="s">
        <v>134</v>
      </c>
      <c r="DW14" s="20" t="s">
        <v>134</v>
      </c>
      <c r="DX14" s="20">
        <v>3.4497614602638263E-10</v>
      </c>
      <c r="DY14" s="20">
        <v>1.5446137719282387E-11</v>
      </c>
      <c r="DZ14" s="20" t="s">
        <v>134</v>
      </c>
      <c r="EA14" s="20" t="s">
        <v>134</v>
      </c>
      <c r="EB14" s="20">
        <v>-5.7006791469052664E-11</v>
      </c>
      <c r="EC14" s="20">
        <v>9.9663163111513626E-12</v>
      </c>
      <c r="ED14" s="20">
        <v>-4.7533661258572154E-10</v>
      </c>
      <c r="EE14" s="20">
        <v>5.7927653591652471E-11</v>
      </c>
      <c r="EF14" s="20" t="s">
        <v>134</v>
      </c>
      <c r="EG14" s="20" t="s">
        <v>134</v>
      </c>
      <c r="EH14" s="20">
        <v>1.5466773822486722E-8</v>
      </c>
      <c r="EI14" s="20">
        <v>1.7604874127755267E-10</v>
      </c>
      <c r="EJ14" s="20" t="s">
        <v>134</v>
      </c>
      <c r="EK14" s="20" t="s">
        <v>134</v>
      </c>
      <c r="EL14" s="20">
        <v>1.1460823161683731E-9</v>
      </c>
      <c r="EM14" s="20">
        <v>1.3153244577797356E-11</v>
      </c>
      <c r="EN14" s="20" t="s">
        <v>134</v>
      </c>
      <c r="EO14" s="20" t="s">
        <v>134</v>
      </c>
      <c r="EP14" s="20" t="s">
        <v>134</v>
      </c>
      <c r="EQ14" s="20" t="s">
        <v>134</v>
      </c>
      <c r="ER14" s="20" t="s">
        <v>134</v>
      </c>
      <c r="ES14" s="20" t="s">
        <v>134</v>
      </c>
      <c r="ET14" s="20" t="s">
        <v>134</v>
      </c>
      <c r="EU14" s="20" t="s">
        <v>134</v>
      </c>
      <c r="EV14" s="20" t="s">
        <v>134</v>
      </c>
      <c r="EW14" s="20" t="s">
        <v>134</v>
      </c>
      <c r="EX14" s="20">
        <v>3.3911737479466051E-9</v>
      </c>
      <c r="EY14" s="20">
        <v>5.1463264272201455E-11</v>
      </c>
      <c r="EZ14" s="20" t="s">
        <v>134</v>
      </c>
      <c r="FA14" s="20" t="s">
        <v>134</v>
      </c>
      <c r="FB14" s="20" t="s">
        <v>134</v>
      </c>
      <c r="FC14" s="20" t="s">
        <v>134</v>
      </c>
      <c r="FD14" s="20" t="s">
        <v>134</v>
      </c>
      <c r="FE14" s="20" t="s">
        <v>134</v>
      </c>
      <c r="FF14" s="20" t="s">
        <v>134</v>
      </c>
      <c r="FG14" s="20" t="s">
        <v>134</v>
      </c>
      <c r="FH14" s="20">
        <v>6.0072660344942517E-8</v>
      </c>
      <c r="FI14" s="20">
        <v>1.1213699757125431E-8</v>
      </c>
      <c r="FJ14" s="20">
        <v>1.5869613420924114E-10</v>
      </c>
      <c r="FK14" s="20">
        <v>1.2771792824619146E-11</v>
      </c>
      <c r="FL14" s="20">
        <v>2.2281978715784408E-3</v>
      </c>
      <c r="FM14" s="20">
        <v>3.8809148881202533E-5</v>
      </c>
      <c r="FN14" s="20">
        <v>0.87871068028667998</v>
      </c>
      <c r="FO14" s="20">
        <v>9.7779511597429168E-3</v>
      </c>
      <c r="FP14" s="20">
        <v>0.32891338366270484</v>
      </c>
      <c r="FQ14" s="20">
        <v>5.173928254016448E-3</v>
      </c>
      <c r="FR14" s="20">
        <v>2.2476944362085059E-2</v>
      </c>
      <c r="FS14" s="20">
        <v>2.1619732068294887E-4</v>
      </c>
      <c r="FT14" s="20">
        <v>0.28868039417144586</v>
      </c>
      <c r="FU14" s="20">
        <v>1.7407676842717357E-3</v>
      </c>
      <c r="FV14" s="20">
        <v>6.916890826166508E-2</v>
      </c>
      <c r="FW14" s="20">
        <v>1.3574046904166216E-3</v>
      </c>
      <c r="FX14" s="20" t="s">
        <v>134</v>
      </c>
      <c r="FY14" s="20" t="s">
        <v>134</v>
      </c>
      <c r="FZ14" s="20" t="s">
        <v>134</v>
      </c>
      <c r="GA14" s="20" t="s">
        <v>134</v>
      </c>
      <c r="GB14" s="20">
        <v>5.0895240490721558E-3</v>
      </c>
      <c r="GC14" s="20">
        <v>1.017457353440789E-4</v>
      </c>
      <c r="GD14" s="20">
        <v>2.9185902425560326</v>
      </c>
      <c r="GE14" s="20">
        <v>1.9663831904941986E-2</v>
      </c>
      <c r="GF14" s="20">
        <v>7.8310793518114911E-4</v>
      </c>
      <c r="GG14" s="20">
        <v>1.7235833409099348E-5</v>
      </c>
      <c r="GH14" s="20" t="s">
        <v>134</v>
      </c>
      <c r="GI14" s="20" t="s">
        <v>134</v>
      </c>
      <c r="GJ14" s="20" t="s">
        <v>134</v>
      </c>
      <c r="GK14" s="20" t="s">
        <v>134</v>
      </c>
      <c r="GL14" s="20">
        <v>1.0527607750505615E-4</v>
      </c>
      <c r="GM14" s="20">
        <v>4.7136847298554493E-6</v>
      </c>
      <c r="GN14" s="20" t="s">
        <v>134</v>
      </c>
      <c r="GO14" s="20" t="s">
        <v>134</v>
      </c>
      <c r="GP14" s="20">
        <v>1.2233089411464599E-4</v>
      </c>
      <c r="GQ14" s="20">
        <v>2.6274738241391266E-6</v>
      </c>
      <c r="GR14" s="20">
        <v>1.846948991119936E-4</v>
      </c>
      <c r="GS14" s="20">
        <v>1.3588285346649727E-5</v>
      </c>
      <c r="GT14" s="20" t="s">
        <v>134</v>
      </c>
      <c r="GU14" s="20" t="s">
        <v>134</v>
      </c>
      <c r="GV14" s="20">
        <v>4.7199822319446989E-3</v>
      </c>
      <c r="GW14" s="20">
        <v>5.3724644862795279E-5</v>
      </c>
      <c r="GX14" s="20" t="s">
        <v>134</v>
      </c>
      <c r="GY14" s="20" t="s">
        <v>134</v>
      </c>
      <c r="GZ14" s="20">
        <v>3.4974896709202786E-4</v>
      </c>
      <c r="HA14" s="20">
        <v>4.0139644771533128E-6</v>
      </c>
      <c r="HB14" s="20" t="s">
        <v>134</v>
      </c>
      <c r="HC14" s="20" t="s">
        <v>134</v>
      </c>
      <c r="HD14" s="20" t="s">
        <v>134</v>
      </c>
      <c r="HE14" s="20" t="s">
        <v>134</v>
      </c>
      <c r="HF14" s="20" t="s">
        <v>134</v>
      </c>
      <c r="HG14" s="20" t="s">
        <v>134</v>
      </c>
      <c r="HH14" s="20" t="s">
        <v>134</v>
      </c>
      <c r="HI14" s="20" t="s">
        <v>134</v>
      </c>
      <c r="HJ14" s="20" t="s">
        <v>134</v>
      </c>
      <c r="HK14" s="20" t="s">
        <v>134</v>
      </c>
      <c r="HL14" s="20">
        <v>1.1364909858524949E-3</v>
      </c>
      <c r="HM14" s="20">
        <v>1.5606574369911559E-5</v>
      </c>
      <c r="HN14" s="20" t="s">
        <v>134</v>
      </c>
      <c r="HO14" s="20" t="s">
        <v>134</v>
      </c>
      <c r="HP14" s="20" t="s">
        <v>134</v>
      </c>
      <c r="HQ14" s="20" t="s">
        <v>134</v>
      </c>
      <c r="HR14" s="20" t="s">
        <v>134</v>
      </c>
      <c r="HS14" s="20" t="s">
        <v>134</v>
      </c>
      <c r="HT14" s="20" t="s">
        <v>134</v>
      </c>
      <c r="HU14" s="20" t="s">
        <v>134</v>
      </c>
      <c r="HV14" s="20">
        <v>2.4001985007669438E-2</v>
      </c>
      <c r="HW14" s="20">
        <v>3.4121553427950563E-3</v>
      </c>
      <c r="HX14" s="20">
        <v>4.8429164500803407E-5</v>
      </c>
      <c r="HY14" s="20">
        <v>3.8975571695913651E-6</v>
      </c>
      <c r="HZ14" s="20" t="s">
        <v>134</v>
      </c>
      <c r="IA14" s="20" t="s">
        <v>134</v>
      </c>
      <c r="IB14" s="20">
        <v>4.2618131417921958</v>
      </c>
      <c r="IC14" s="20">
        <v>6.2015460659317789E-2</v>
      </c>
      <c r="ID14" s="20">
        <v>13.048572458841203</v>
      </c>
      <c r="IE14" s="20">
        <v>0.18798580754940844</v>
      </c>
      <c r="IF14" s="20">
        <v>3.6281670069795068E-2</v>
      </c>
      <c r="IG14" s="20">
        <v>1.1323846999013985E-2</v>
      </c>
      <c r="IH14" s="20">
        <v>0.47822283846740304</v>
      </c>
      <c r="II14" s="20">
        <v>2.8828288113989398E-2</v>
      </c>
      <c r="IJ14" s="20">
        <v>1.4537156329449084</v>
      </c>
      <c r="IK14" s="20">
        <v>6.4716385105603055E-2</v>
      </c>
      <c r="IL14" s="20">
        <v>0.27672239246966007</v>
      </c>
      <c r="IM14" s="20">
        <v>1.5264372734333908E-2</v>
      </c>
      <c r="IN14" s="20">
        <v>5.0813665992976908E-3</v>
      </c>
      <c r="IO14" s="20">
        <v>1.0680964696036513E-3</v>
      </c>
      <c r="IP14" s="20">
        <v>6.3298314046956461E-2</v>
      </c>
      <c r="IQ14" s="20">
        <v>1.4358304206950605E-3</v>
      </c>
      <c r="IR14" s="20">
        <v>3.5211761437392731E-3</v>
      </c>
      <c r="IS14" s="20">
        <v>1.2683160232686186E-3</v>
      </c>
      <c r="IT14" s="20">
        <v>0.32090618473259741</v>
      </c>
      <c r="IU14" s="20">
        <v>2.0277296958989152E-2</v>
      </c>
      <c r="IV14" s="20">
        <v>0.4589946004830755</v>
      </c>
      <c r="IW14" s="20">
        <v>4.2343995328214361E-3</v>
      </c>
      <c r="IX14" s="20">
        <v>5.7673700263925536E-2</v>
      </c>
      <c r="IY14" s="20">
        <v>1.0482661966494661E-2</v>
      </c>
      <c r="IZ14" s="20">
        <v>0.1442741993854065</v>
      </c>
      <c r="JA14" s="20">
        <v>4.653979630598922E-3</v>
      </c>
      <c r="JB14" s="20">
        <v>4.102361310097518E-2</v>
      </c>
      <c r="JC14" s="20">
        <v>2.3168693452189034E-3</v>
      </c>
      <c r="JD14" s="20">
        <v>2.7979817502473804E-3</v>
      </c>
      <c r="JE14" s="20">
        <v>1.2648839954344062E-3</v>
      </c>
      <c r="JF14" s="20">
        <v>0.12555605631447916</v>
      </c>
      <c r="JG14" s="20">
        <v>2.1333303992772052E-3</v>
      </c>
      <c r="JH14" s="20">
        <v>9.8929715771337925E-3</v>
      </c>
      <c r="JI14" s="20">
        <v>3.622488739865638E-3</v>
      </c>
      <c r="JJ14" s="20">
        <v>1.193220449085767E-4</v>
      </c>
      <c r="JK14" s="20">
        <v>6.5696163444974032E-4</v>
      </c>
      <c r="JL14" s="20">
        <v>1.499290875715926E-2</v>
      </c>
      <c r="JM14" s="20">
        <v>6.0886429084076963E-4</v>
      </c>
      <c r="JN14" s="20">
        <v>1.1578652770717922E-2</v>
      </c>
      <c r="JO14" s="20">
        <v>8.5628416002269422E-4</v>
      </c>
      <c r="JP14" s="20">
        <v>5.7090946066900072E-2</v>
      </c>
      <c r="JQ14" s="20">
        <v>1.0364815486931626E-3</v>
      </c>
      <c r="JR14" s="20" t="s">
        <v>134</v>
      </c>
      <c r="JS14" s="20" t="s">
        <v>134</v>
      </c>
      <c r="JT14" s="20" t="s">
        <v>134</v>
      </c>
      <c r="JU14" s="20" t="s">
        <v>134</v>
      </c>
      <c r="JV14" s="20">
        <v>2.3580869772912001E-4</v>
      </c>
      <c r="JW14" s="20">
        <v>4.4654368674785663E-5</v>
      </c>
      <c r="JX14" s="20">
        <v>8.0774246502064093E-3</v>
      </c>
      <c r="JY14" s="20">
        <v>6.918236229473461E-4</v>
      </c>
      <c r="JZ14" s="20" t="s">
        <v>134</v>
      </c>
      <c r="KA14" s="20" t="s">
        <v>134</v>
      </c>
      <c r="KB14" s="20">
        <v>0.21838028027657291</v>
      </c>
      <c r="KC14" s="20">
        <v>1.8532413816790031E-3</v>
      </c>
      <c r="KD14" s="20">
        <v>2.4643460678037596E-4</v>
      </c>
      <c r="KE14" s="20">
        <v>1.892939575262945E-5</v>
      </c>
      <c r="KF14" s="20">
        <v>1.0296090107384097E-2</v>
      </c>
      <c r="KG14" s="20">
        <v>1.143719874209603E-4</v>
      </c>
      <c r="KH14" s="20" t="s">
        <v>134</v>
      </c>
      <c r="KI14" s="20" t="s">
        <v>134</v>
      </c>
      <c r="KJ14" s="20">
        <v>6.4652945372434365E-5</v>
      </c>
      <c r="KK14" s="20">
        <v>2.2164272118241257E-4</v>
      </c>
      <c r="KL14" s="20">
        <v>6.2098250215407127</v>
      </c>
      <c r="KM14" s="20">
        <v>5.5898466841845247E-2</v>
      </c>
      <c r="KN14" s="20">
        <v>7.7943329742718353E-3</v>
      </c>
      <c r="KO14" s="20">
        <v>2.473717561225865E-4</v>
      </c>
      <c r="KP14" s="46">
        <v>2.7446879065377802E-3</v>
      </c>
      <c r="KQ14" s="46">
        <v>3.4844272122031609E-3</v>
      </c>
      <c r="KR14" s="16">
        <v>0.97669055939596472</v>
      </c>
      <c r="KS14" s="16">
        <v>30.625420157536695</v>
      </c>
      <c r="KT14" s="16">
        <v>0.39468837186803152</v>
      </c>
      <c r="KU14" s="16">
        <v>36.290062395047542</v>
      </c>
      <c r="KV14" s="16">
        <v>0.3658269389141891</v>
      </c>
      <c r="KW14" s="16">
        <v>1.0736756780217924</v>
      </c>
      <c r="KX14" s="16">
        <v>2.2147266414668455E-2</v>
      </c>
      <c r="KY14" s="16">
        <v>0.94355506196901895</v>
      </c>
      <c r="KZ14" s="16">
        <v>3.3574087813112293E-3</v>
      </c>
      <c r="LA14" s="16">
        <v>1.3529959958976643</v>
      </c>
      <c r="LB14" s="16">
        <v>1.177765135015812E-3</v>
      </c>
      <c r="LC14" s="18">
        <v>0.14826001725548899</v>
      </c>
      <c r="LD14" s="18">
        <v>1.2151558040639459E-3</v>
      </c>
      <c r="LE14" s="16">
        <v>32.4574806409573</v>
      </c>
      <c r="LF14" s="16">
        <v>0.43395005996158037</v>
      </c>
      <c r="LG14" s="16">
        <v>26.822002803467566</v>
      </c>
      <c r="LH14" s="16">
        <v>0.27138908261801253</v>
      </c>
      <c r="LI14" s="16">
        <v>7.2418423921506863</v>
      </c>
      <c r="LJ14" s="16">
        <v>0.16074130795898697</v>
      </c>
      <c r="LK14" s="16">
        <v>-25.660768445000002</v>
      </c>
      <c r="LL14" s="16">
        <v>4.0913431704691756E-2</v>
      </c>
      <c r="LM14" s="16">
        <v>-25.365123615000002</v>
      </c>
      <c r="LN14" s="16">
        <v>3.0420688320799926E-2</v>
      </c>
      <c r="LO14" s="16">
        <v>-25.170579549999999</v>
      </c>
      <c r="LP14" s="16">
        <v>5.0890970016741123E-2</v>
      </c>
      <c r="LQ14" s="21">
        <v>-32.391859714691826</v>
      </c>
      <c r="LR14" s="21">
        <v>3.4999999999999996</v>
      </c>
      <c r="LS14" s="21">
        <v>-153.19410601107407</v>
      </c>
      <c r="LT14" s="21">
        <v>2.8000000000000003</v>
      </c>
      <c r="LU14" s="21">
        <v>-224.28692222227852</v>
      </c>
      <c r="LV14" s="21">
        <v>1.6</v>
      </c>
      <c r="LW14" s="50">
        <v>0.97560000000000002</v>
      </c>
      <c r="LX14" s="50">
        <v>3.4999999999999996E-3</v>
      </c>
      <c r="LY14" s="50">
        <v>0.85380000000000011</v>
      </c>
      <c r="LZ14" s="50">
        <v>2.8000000000000004E-3</v>
      </c>
      <c r="MA14" s="51">
        <v>0.78211999999999993</v>
      </c>
      <c r="MB14" s="51">
        <v>1.6000000000000001E-3</v>
      </c>
      <c r="MC14" s="19">
        <v>200</v>
      </c>
      <c r="MD14" s="19">
        <v>30</v>
      </c>
      <c r="ME14" s="19">
        <v>1270</v>
      </c>
      <c r="MF14" s="19">
        <v>30</v>
      </c>
      <c r="MG14" s="19">
        <v>1975</v>
      </c>
      <c r="MH14" s="19">
        <v>20</v>
      </c>
      <c r="MI14" s="18">
        <v>8.4057220339029307E-2</v>
      </c>
      <c r="MJ14" s="18">
        <v>1.0832964011172723E-3</v>
      </c>
      <c r="MK14" s="18">
        <v>0.12645008094185425</v>
      </c>
      <c r="ML14" s="18">
        <v>1.274697340909584E-3</v>
      </c>
      <c r="MM14" s="18">
        <v>1.0486488985769462</v>
      </c>
      <c r="MN14" s="18">
        <v>2.1631026023633992E-2</v>
      </c>
      <c r="MO14" s="46">
        <v>2.5897641677388719E-3</v>
      </c>
      <c r="MP14" s="46">
        <v>9.2150392793686767E-6</v>
      </c>
      <c r="MQ14" s="46">
        <v>4.7144160661077373E-3</v>
      </c>
      <c r="MR14" s="46">
        <v>4.1038368860332255E-6</v>
      </c>
      <c r="MS14" s="18">
        <v>0.14480415918931891</v>
      </c>
      <c r="MT14" s="18">
        <v>1.1868312020244687E-3</v>
      </c>
    </row>
    <row r="15" spans="1:358" s="14" customFormat="1">
      <c r="A15" s="14" t="s">
        <v>126</v>
      </c>
      <c r="B15" s="14" t="s">
        <v>24</v>
      </c>
      <c r="C15" s="14" t="s">
        <v>25</v>
      </c>
      <c r="D15" s="14">
        <v>67.5</v>
      </c>
      <c r="E15" s="16">
        <v>0.45095541401273886</v>
      </c>
      <c r="F15" s="18">
        <v>0.34151581887522164</v>
      </c>
      <c r="G15" s="18"/>
      <c r="H15" s="18"/>
      <c r="I15" s="18"/>
      <c r="Q15" s="16">
        <v>1.2943499999999999</v>
      </c>
      <c r="R15" s="16">
        <v>9.638723981938619E-3</v>
      </c>
      <c r="S15" s="16">
        <v>0.23615</v>
      </c>
      <c r="T15" s="16">
        <v>2.8991378028648397E-3</v>
      </c>
      <c r="AA15" s="15">
        <v>5.7979036358917914E-2</v>
      </c>
      <c r="AB15" s="15">
        <v>7.264423800597563E-3</v>
      </c>
      <c r="AC15" s="15">
        <v>2.5284638344762141E-2</v>
      </c>
      <c r="AD15" s="15">
        <v>5.9391992601197756E-5</v>
      </c>
      <c r="AE15" s="20">
        <v>6.1605723103386981E-2</v>
      </c>
      <c r="AF15" s="20">
        <v>1.3452128272385259E-3</v>
      </c>
      <c r="AG15" s="20">
        <v>5.9864541913154441E-2</v>
      </c>
      <c r="AH15" s="20">
        <v>7.6522874986161699E-4</v>
      </c>
      <c r="AI15" s="20">
        <v>4.1946846050699801E-2</v>
      </c>
      <c r="AJ15" s="20">
        <v>8.1781183803737397E-4</v>
      </c>
      <c r="AK15" s="20">
        <v>1.6506704938645783E-3</v>
      </c>
      <c r="AL15" s="20">
        <v>1.4558159891203825E-4</v>
      </c>
      <c r="AM15" s="20">
        <v>0.25297921551158431</v>
      </c>
      <c r="AN15" s="20">
        <v>2.4289237197833338E-2</v>
      </c>
      <c r="AO15" s="20">
        <v>6.0575614434243127E-2</v>
      </c>
      <c r="AP15" s="20">
        <v>1.1194010016623661E-3</v>
      </c>
      <c r="AQ15" s="20">
        <v>1.1430319561284841E-2</v>
      </c>
      <c r="AR15" s="20">
        <v>2.8558085409489871E-4</v>
      </c>
      <c r="AS15" s="20">
        <v>7.5086176353720375E-3</v>
      </c>
      <c r="AT15" s="20">
        <v>6.7118921898742028E-5</v>
      </c>
      <c r="AU15" s="20">
        <v>2.1180447539419028E-2</v>
      </c>
      <c r="AV15" s="20">
        <v>8.1489578822219611E-5</v>
      </c>
      <c r="AW15" s="20">
        <v>1.2445769670231633E-2</v>
      </c>
      <c r="AX15" s="20">
        <v>2.0917308242302657E-5</v>
      </c>
      <c r="AY15" s="20">
        <v>4.348186695982607E-3</v>
      </c>
      <c r="AZ15" s="20">
        <v>7.9520603173964423E-6</v>
      </c>
      <c r="BA15" s="20">
        <v>1.623693009570999E-3</v>
      </c>
      <c r="BB15" s="20">
        <v>8.4251209535851222E-7</v>
      </c>
      <c r="BC15" s="20">
        <v>0.12593968772974093</v>
      </c>
      <c r="BD15" s="20">
        <v>1.7770313879431616E-4</v>
      </c>
      <c r="BE15" s="20">
        <v>0.17091120718862615</v>
      </c>
      <c r="BF15" s="20">
        <v>2.021002997195996E-4</v>
      </c>
      <c r="BG15" s="20">
        <v>1.3407430008393748E-6</v>
      </c>
      <c r="BH15" s="67">
        <v>6.8979046761469568E-9</v>
      </c>
      <c r="BI15" s="20">
        <v>2.1569179621621765E-2</v>
      </c>
      <c r="BJ15" s="20">
        <v>2.0591374803252514E-5</v>
      </c>
      <c r="BK15" s="20">
        <v>2.0230856639124099E-2</v>
      </c>
      <c r="BL15" s="20">
        <v>1.6351864468196967E-5</v>
      </c>
      <c r="BM15" s="20" t="s">
        <v>134</v>
      </c>
      <c r="BN15" s="20" t="s">
        <v>135</v>
      </c>
      <c r="BO15" s="20" t="s">
        <v>134</v>
      </c>
      <c r="BP15" s="20" t="s">
        <v>135</v>
      </c>
      <c r="BQ15" s="20">
        <v>7.3478018854627862E-4</v>
      </c>
      <c r="BR15" s="20">
        <v>1.822701194233952E-6</v>
      </c>
      <c r="BS15" s="20" t="s">
        <v>134</v>
      </c>
      <c r="BT15" s="20" t="s">
        <v>135</v>
      </c>
      <c r="BU15" s="20">
        <v>3.3998591234614635E-2</v>
      </c>
      <c r="BV15" s="20">
        <v>3.0506919462814455E-5</v>
      </c>
      <c r="BW15" s="60"/>
      <c r="BX15" s="60"/>
      <c r="BY15" s="15"/>
      <c r="BZ15" s="18"/>
      <c r="CA15" s="18"/>
      <c r="CB15" s="18"/>
      <c r="KR15" s="16"/>
    </row>
    <row r="16" spans="1:358" s="14" customFormat="1">
      <c r="A16" s="14" t="s">
        <v>126</v>
      </c>
      <c r="B16" s="14" t="s">
        <v>26</v>
      </c>
      <c r="C16" s="14" t="s">
        <v>27</v>
      </c>
      <c r="D16" s="14">
        <v>82.5</v>
      </c>
      <c r="E16" s="16">
        <v>0.24635568513119535</v>
      </c>
      <c r="F16" s="18">
        <v>0.19604628621345738</v>
      </c>
      <c r="G16" s="18"/>
      <c r="H16" s="18"/>
      <c r="I16" s="18"/>
      <c r="J16" s="16">
        <v>0.60137438543681032</v>
      </c>
      <c r="K16" s="16">
        <v>5.6235579433627314E-4</v>
      </c>
      <c r="L16" s="16">
        <v>8.2554208905105633E-2</v>
      </c>
      <c r="M16" s="16">
        <v>8.0038851584452608E-5</v>
      </c>
      <c r="N16" s="16">
        <v>-26.023250000000001</v>
      </c>
      <c r="O16" s="16">
        <v>4.3407305398053875E-2</v>
      </c>
      <c r="P16" s="21">
        <f>J16/L16</f>
        <v>7.2845999424218073</v>
      </c>
      <c r="Q16" s="16">
        <v>0.69953999999999994</v>
      </c>
      <c r="R16" s="16">
        <v>2.6092336039534703E-2</v>
      </c>
      <c r="S16" s="16">
        <v>1.7100000000000001E-3</v>
      </c>
      <c r="T16" s="16">
        <v>7.0710678118654795E-5</v>
      </c>
      <c r="U16" s="15">
        <v>0.23272202566780478</v>
      </c>
      <c r="V16" s="15">
        <v>1.542885392075425E-3</v>
      </c>
      <c r="W16" s="21">
        <v>-769.15645041417019</v>
      </c>
      <c r="X16" s="21">
        <v>1.5428853920754251</v>
      </c>
      <c r="Y16" s="14">
        <v>11710</v>
      </c>
      <c r="Z16" s="14">
        <v>60</v>
      </c>
      <c r="AA16" s="15">
        <v>2.1688382787365096E-2</v>
      </c>
      <c r="AB16" s="15">
        <v>2.9069403908457101E-4</v>
      </c>
      <c r="AC16" s="15">
        <v>1.2355064380585552E-2</v>
      </c>
      <c r="AD16" s="15">
        <v>2.029787512991308E-4</v>
      </c>
      <c r="AE16" s="20">
        <v>2.2438715526989964E-2</v>
      </c>
      <c r="AF16" s="20">
        <v>6.577707417198327E-5</v>
      </c>
      <c r="AG16" s="20">
        <v>4.6964600011174432E-2</v>
      </c>
      <c r="AH16" s="20">
        <v>1.4567716854375062E-3</v>
      </c>
      <c r="AI16" s="20">
        <v>3.5458613395052518E-2</v>
      </c>
      <c r="AJ16" s="20">
        <v>1.1862281782994352E-3</v>
      </c>
      <c r="AK16" s="20">
        <v>4.712523570146221E-4</v>
      </c>
      <c r="AL16" s="20">
        <v>3.9156635111862608E-6</v>
      </c>
      <c r="AM16" s="20">
        <v>7.7855180435599775E-2</v>
      </c>
      <c r="AN16" s="20">
        <v>2.3533050909356023E-3</v>
      </c>
      <c r="AO16" s="20">
        <v>4.0089182472511524E-2</v>
      </c>
      <c r="AP16" s="20">
        <v>1.8065272194615629E-4</v>
      </c>
      <c r="AQ16" s="20">
        <v>1.0496364014646724E-2</v>
      </c>
      <c r="AR16" s="20">
        <v>8.4534091033681828E-4</v>
      </c>
      <c r="AS16" s="20">
        <v>7.9138313356691414E-3</v>
      </c>
      <c r="AT16" s="20">
        <v>4.0246664028998285E-5</v>
      </c>
      <c r="AU16" s="20">
        <v>2.6702183007783032E-2</v>
      </c>
      <c r="AV16" s="20">
        <v>1.8596867146867752E-5</v>
      </c>
      <c r="AW16" s="20">
        <v>2.0987931230783744E-2</v>
      </c>
      <c r="AX16" s="20">
        <v>7.6920869230674298E-5</v>
      </c>
      <c r="AY16" s="20">
        <v>8.5082313303364281E-3</v>
      </c>
      <c r="AZ16" s="20">
        <v>7.6472214983083167E-6</v>
      </c>
      <c r="BA16" s="20">
        <v>6.4886709488031857E-4</v>
      </c>
      <c r="BB16" s="20">
        <v>3.3310655858758797E-6</v>
      </c>
      <c r="BC16" s="20">
        <v>4.1827470379018766E-2</v>
      </c>
      <c r="BD16" s="20">
        <v>1.4517431095578019E-5</v>
      </c>
      <c r="BE16" s="20">
        <v>0.16158729238051095</v>
      </c>
      <c r="BF16" s="20">
        <v>1.1795937872277376E-4</v>
      </c>
      <c r="BG16" s="20">
        <v>1.2845394986303969E-6</v>
      </c>
      <c r="BH16" s="67">
        <v>2.1425204340102234E-8</v>
      </c>
      <c r="BI16" s="20">
        <v>6.2395525982363639E-3</v>
      </c>
      <c r="BJ16" s="20">
        <v>1.0216521957835245E-5</v>
      </c>
      <c r="BK16" s="20">
        <v>2.0637107097848259E-2</v>
      </c>
      <c r="BL16" s="20">
        <v>1.2370710316434176E-5</v>
      </c>
      <c r="BM16" s="20" t="s">
        <v>134</v>
      </c>
      <c r="BN16" s="20" t="s">
        <v>135</v>
      </c>
      <c r="BO16" s="20" t="s">
        <v>134</v>
      </c>
      <c r="BP16" s="20" t="s">
        <v>135</v>
      </c>
      <c r="BQ16" s="20">
        <v>2.1092822620772121E-4</v>
      </c>
      <c r="BR16" s="20">
        <v>1.5361256361496309E-7</v>
      </c>
      <c r="BS16" s="20" t="s">
        <v>134</v>
      </c>
      <c r="BT16" s="20" t="s">
        <v>135</v>
      </c>
      <c r="BU16" s="20">
        <v>2.1093332984763801E-2</v>
      </c>
      <c r="BV16" s="20">
        <v>1.7424940031162487E-5</v>
      </c>
      <c r="BW16" s="60"/>
      <c r="BX16" s="60"/>
      <c r="BY16" s="15"/>
      <c r="BZ16" s="18"/>
      <c r="CA16" s="18"/>
      <c r="CB16" s="18"/>
      <c r="KP16" s="46">
        <v>1.1167512690354101E-4</v>
      </c>
      <c r="KQ16" s="46">
        <v>5.0761421319795873E-4</v>
      </c>
      <c r="KR16" s="16">
        <v>1.0080507614213199</v>
      </c>
      <c r="KS16" s="16">
        <v>38.962389300276087</v>
      </c>
      <c r="KT16" s="16">
        <v>7.4569053401603122E-2</v>
      </c>
      <c r="KU16" s="16">
        <v>40.870515194910098</v>
      </c>
      <c r="KV16" s="16">
        <v>0.47656230221176521</v>
      </c>
      <c r="KW16" s="16">
        <v>0.47632594230723524</v>
      </c>
      <c r="KX16" s="16">
        <v>1.1552778185730091E-2</v>
      </c>
      <c r="KY16" s="16">
        <v>0.96975075878083128</v>
      </c>
      <c r="KZ16" s="16">
        <v>2.1074304459426235E-2</v>
      </c>
      <c r="LA16" s="16">
        <v>1.0863778265136494</v>
      </c>
      <c r="LB16" s="16">
        <v>8.0515909145801468E-3</v>
      </c>
      <c r="LC16" s="18">
        <v>7.7789759522027879E-2</v>
      </c>
      <c r="LD16" s="18">
        <v>3.5275146224005553E-4</v>
      </c>
      <c r="LE16" s="16">
        <v>40.177735307224225</v>
      </c>
      <c r="LF16" s="16">
        <v>0.8765087973158584</v>
      </c>
      <c r="LG16" s="16">
        <v>37.620903333483668</v>
      </c>
      <c r="LH16" s="16">
        <v>0.51978351924578858</v>
      </c>
      <c r="LI16" s="16">
        <v>6.1232473944382502</v>
      </c>
      <c r="LJ16" s="16">
        <v>0.15108629165428619</v>
      </c>
      <c r="LK16" s="16">
        <v>-25.632786809999999</v>
      </c>
      <c r="LL16" s="16">
        <v>7.7802591438430643E-2</v>
      </c>
      <c r="LM16" s="16">
        <v>-24.997530080000001</v>
      </c>
      <c r="LN16" s="16">
        <v>0.11762666150709337</v>
      </c>
      <c r="LO16" s="16">
        <v>-25.89081436</v>
      </c>
      <c r="LP16" s="16">
        <v>9.8201999821697795E-3</v>
      </c>
      <c r="LQ16" s="21"/>
      <c r="LR16" s="21"/>
      <c r="LS16" s="21">
        <v>-348.58033360046079</v>
      </c>
      <c r="LT16" s="21">
        <v>2</v>
      </c>
      <c r="LU16" s="21">
        <v>-853.03385175535368</v>
      </c>
      <c r="LV16" s="21">
        <v>0.47</v>
      </c>
      <c r="LW16" s="50"/>
      <c r="LX16" s="50"/>
      <c r="LY16" s="50">
        <v>0.65680000000000005</v>
      </c>
      <c r="LZ16" s="50">
        <v>2E-3</v>
      </c>
      <c r="MA16" s="51">
        <v>0.14818000000000001</v>
      </c>
      <c r="MB16" s="51">
        <v>4.6999999999999999E-4</v>
      </c>
      <c r="MC16" s="19"/>
      <c r="MD16" s="19"/>
      <c r="ME16" s="19">
        <v>3375</v>
      </c>
      <c r="MF16" s="19">
        <v>25</v>
      </c>
      <c r="MG16" s="19">
        <v>15340</v>
      </c>
      <c r="MH16" s="19">
        <v>30</v>
      </c>
      <c r="MI16" s="18">
        <v>4.3511297695735E-3</v>
      </c>
      <c r="MJ16" s="18">
        <v>8.327508501700955E-6</v>
      </c>
      <c r="MK16" s="18">
        <v>2.0746454413659503E-2</v>
      </c>
      <c r="ML16" s="18">
        <v>2.4190979807703304E-4</v>
      </c>
      <c r="MM16" s="18">
        <v>0.48016072882753613</v>
      </c>
      <c r="MN16" s="18">
        <v>1.164578684665683E-2</v>
      </c>
      <c r="MO16" s="46">
        <v>1.0829703905165451E-4</v>
      </c>
      <c r="MP16" s="46">
        <v>2.3534756249102848E-6</v>
      </c>
      <c r="MQ16" s="46">
        <v>5.514608256414346E-4</v>
      </c>
      <c r="MR16" s="46">
        <v>4.0871019870964346E-6</v>
      </c>
      <c r="MS16" s="18">
        <v>7.8416026316961582E-2</v>
      </c>
      <c r="MT16" s="18">
        <v>3.5559138010357193E-4</v>
      </c>
    </row>
    <row r="17" spans="1:358" s="14" customFormat="1">
      <c r="A17" s="14" t="s">
        <v>126</v>
      </c>
      <c r="B17" s="14" t="s">
        <v>28</v>
      </c>
      <c r="C17" s="14" t="s">
        <v>29</v>
      </c>
      <c r="D17" s="14">
        <v>100</v>
      </c>
      <c r="E17" s="16">
        <v>0.39853732804088959</v>
      </c>
      <c r="F17" s="18">
        <v>0.2672433359392733</v>
      </c>
      <c r="G17" s="18"/>
      <c r="H17" s="18"/>
      <c r="I17" s="18"/>
      <c r="Q17" s="16">
        <v>0.78170000000000006</v>
      </c>
      <c r="R17" s="16">
        <v>4.6669047558312486E-3</v>
      </c>
      <c r="S17" s="16">
        <v>0</v>
      </c>
      <c r="T17" s="16">
        <v>1.8384776310850223E-4</v>
      </c>
      <c r="AA17" s="15">
        <v>2.1634584064421366E-2</v>
      </c>
      <c r="AB17" s="15">
        <v>1.6140875592387928E-3</v>
      </c>
      <c r="AC17" s="15">
        <v>1.1413823312285182E-2</v>
      </c>
      <c r="AD17" s="15">
        <v>8.1894700628893741E-5</v>
      </c>
      <c r="AE17" s="20">
        <v>2.1477540530487144E-2</v>
      </c>
      <c r="AF17" s="20">
        <v>7.1489862732590297E-4</v>
      </c>
      <c r="AG17" s="20">
        <v>4.6164319531287433E-2</v>
      </c>
      <c r="AH17" s="20">
        <v>2.6208480447861885E-3</v>
      </c>
      <c r="AI17" s="20">
        <v>3.4768887899473529E-2</v>
      </c>
      <c r="AJ17" s="20">
        <v>1.2591684150895048E-3</v>
      </c>
      <c r="AK17" s="20">
        <v>4.7800731485231666E-4</v>
      </c>
      <c r="AL17" s="20">
        <v>8.9211756902696698E-6</v>
      </c>
      <c r="AM17" s="20">
        <v>7.2453569987644406E-2</v>
      </c>
      <c r="AN17" s="20">
        <v>4.1171814328527909E-4</v>
      </c>
      <c r="AO17" s="20">
        <v>3.7012844562880488E-2</v>
      </c>
      <c r="AP17" s="20">
        <v>5.3470828422768919E-4</v>
      </c>
      <c r="AQ17" s="20">
        <v>1.1322904558813639E-2</v>
      </c>
      <c r="AR17" s="20">
        <v>3.92067262591193E-4</v>
      </c>
      <c r="AS17" s="20">
        <v>7.1951244179703959E-3</v>
      </c>
      <c r="AT17" s="20">
        <v>3.8929991102789336E-5</v>
      </c>
      <c r="AU17" s="20">
        <v>2.5136663906685161E-2</v>
      </c>
      <c r="AV17" s="20">
        <v>1.4971041241535824E-5</v>
      </c>
      <c r="AW17" s="20">
        <v>1.930330330242103E-2</v>
      </c>
      <c r="AX17" s="20">
        <v>3.8246820750266158E-5</v>
      </c>
      <c r="AY17" s="20">
        <v>8.5128529905375942E-3</v>
      </c>
      <c r="AZ17" s="20">
        <v>6.038183610681475E-6</v>
      </c>
      <c r="BA17" s="20">
        <v>5.7759189557298417E-4</v>
      </c>
      <c r="BB17" s="20">
        <v>3.7985294782290738E-7</v>
      </c>
      <c r="BC17" s="20">
        <v>3.613418186391034E-2</v>
      </c>
      <c r="BD17" s="20">
        <v>8.4458680959375324E-5</v>
      </c>
      <c r="BE17" s="20">
        <v>0.13507694400353726</v>
      </c>
      <c r="BF17" s="20">
        <v>2.4034726309281557E-4</v>
      </c>
      <c r="BG17" s="20">
        <v>1.1067668120814325E-6</v>
      </c>
      <c r="BH17" s="67">
        <v>1.2453341298217995E-9</v>
      </c>
      <c r="BI17" s="20">
        <v>6.3986032651978421E-3</v>
      </c>
      <c r="BJ17" s="20">
        <v>1.2201193358554603E-5</v>
      </c>
      <c r="BK17" s="20">
        <v>2.3678753892166223E-2</v>
      </c>
      <c r="BL17" s="20">
        <v>2.9923374535896256E-5</v>
      </c>
      <c r="BM17" s="20" t="s">
        <v>134</v>
      </c>
      <c r="BN17" s="20" t="s">
        <v>135</v>
      </c>
      <c r="BO17" s="20" t="s">
        <v>134</v>
      </c>
      <c r="BP17" s="20" t="s">
        <v>135</v>
      </c>
      <c r="BQ17" s="20">
        <v>2.2094541395711368E-4</v>
      </c>
      <c r="BR17" s="20">
        <v>7.1150647072702559E-7</v>
      </c>
      <c r="BS17" s="20" t="s">
        <v>134</v>
      </c>
      <c r="BT17" s="20" t="s">
        <v>135</v>
      </c>
      <c r="BU17" s="20">
        <v>2.4970781958397786E-2</v>
      </c>
      <c r="BV17" s="20">
        <v>7.8990663873186128E-6</v>
      </c>
      <c r="BW17" s="61"/>
      <c r="BX17" s="61"/>
      <c r="BY17" s="15"/>
      <c r="BZ17" s="18"/>
      <c r="CA17" s="18"/>
      <c r="CB17" s="18"/>
    </row>
    <row r="18" spans="1:358" s="14" customFormat="1">
      <c r="A18" s="14" t="s">
        <v>127</v>
      </c>
      <c r="B18" s="14" t="s">
        <v>30</v>
      </c>
      <c r="C18" s="14" t="s">
        <v>6</v>
      </c>
      <c r="D18" s="14">
        <v>7.5</v>
      </c>
      <c r="E18" s="16">
        <v>0.98924041075203861</v>
      </c>
      <c r="F18" s="18">
        <v>0.31407008373779927</v>
      </c>
      <c r="G18" s="18"/>
      <c r="H18" s="18"/>
      <c r="I18" s="18"/>
      <c r="Q18" s="16">
        <v>4.9741499999999998</v>
      </c>
      <c r="R18" s="16">
        <v>9.552750912695239E-2</v>
      </c>
      <c r="S18" s="16">
        <v>0.51734999999999998</v>
      </c>
      <c r="T18" s="16">
        <v>3.6062445840513878E-3</v>
      </c>
      <c r="AA18" s="15">
        <v>8.6604103254827786E-2</v>
      </c>
      <c r="AB18" s="15">
        <v>3.3718590935704817E-3</v>
      </c>
      <c r="AC18" s="15">
        <v>0.1526052135227032</v>
      </c>
      <c r="AD18" s="15">
        <v>1.9435800025900023E-3</v>
      </c>
      <c r="AE18" s="20">
        <v>5.3646751092489627E-2</v>
      </c>
      <c r="AF18" s="20">
        <v>1.4818411600764586E-4</v>
      </c>
      <c r="AG18" s="20">
        <v>2.2425930642374487E-2</v>
      </c>
      <c r="AH18" s="20">
        <v>3.1851595681446461E-5</v>
      </c>
      <c r="AI18" s="20">
        <v>1.387870003091308E-2</v>
      </c>
      <c r="AJ18" s="20">
        <v>6.2814418585245809E-5</v>
      </c>
      <c r="AK18" s="20">
        <v>2.5664326581517362E-3</v>
      </c>
      <c r="AL18" s="20">
        <v>1.4036888375050944E-4</v>
      </c>
      <c r="AM18" s="20">
        <v>0.20668969945513793</v>
      </c>
      <c r="AN18" s="20">
        <v>1.8443047902981342E-3</v>
      </c>
      <c r="AO18" s="20">
        <v>4.0805387038723467E-2</v>
      </c>
      <c r="AP18" s="20">
        <v>4.0665406869917737E-4</v>
      </c>
      <c r="AQ18" s="20">
        <v>3.4402506831407668E-3</v>
      </c>
      <c r="AR18" s="20">
        <v>1.4484828896098396E-4</v>
      </c>
      <c r="AS18" s="20">
        <v>1.355940057030308E-2</v>
      </c>
      <c r="AT18" s="20">
        <v>3.7775516847485142E-5</v>
      </c>
      <c r="AU18" s="20">
        <v>2.4322519780800998E-2</v>
      </c>
      <c r="AV18" s="20">
        <v>9.6866146282680905E-5</v>
      </c>
      <c r="AW18" s="20">
        <v>2.8092498947240169E-2</v>
      </c>
      <c r="AX18" s="20">
        <v>9.9479565730469172E-5</v>
      </c>
      <c r="AY18" s="20">
        <v>5.87825489537931E-3</v>
      </c>
      <c r="AZ18" s="20">
        <v>1.1870210638274594E-5</v>
      </c>
      <c r="BA18" s="20">
        <v>4.7997842603243841E-3</v>
      </c>
      <c r="BB18" s="20">
        <v>2.5397684116148589E-5</v>
      </c>
      <c r="BC18" s="20">
        <v>0.24231074421850254</v>
      </c>
      <c r="BD18" s="20">
        <v>1.3710260697308248E-4</v>
      </c>
      <c r="BE18" s="20">
        <v>0.23114474016047779</v>
      </c>
      <c r="BF18" s="20">
        <v>1.158053719613908E-3</v>
      </c>
      <c r="BG18" s="20">
        <v>1.6652548095317377E-6</v>
      </c>
      <c r="BH18" s="67">
        <v>1.6566257205551027E-8</v>
      </c>
      <c r="BI18" s="20">
        <v>7.921696931689548E-2</v>
      </c>
      <c r="BJ18" s="20">
        <v>2.8231982222932849E-5</v>
      </c>
      <c r="BK18" s="20">
        <v>3.1781987882340969E-2</v>
      </c>
      <c r="BL18" s="20">
        <v>1.7993955399354535E-5</v>
      </c>
      <c r="BM18" s="20">
        <v>7.6826500774557728E-3</v>
      </c>
      <c r="BN18" s="20">
        <v>2.679978960918616E-5</v>
      </c>
      <c r="BO18" s="20" t="s">
        <v>134</v>
      </c>
      <c r="BP18" s="20" t="s">
        <v>135</v>
      </c>
      <c r="BQ18" s="20">
        <v>3.6565975175211598E-3</v>
      </c>
      <c r="BR18" s="20">
        <v>3.0320751128540511E-5</v>
      </c>
      <c r="BS18" s="20" t="s">
        <v>134</v>
      </c>
      <c r="BT18" s="20" t="s">
        <v>135</v>
      </c>
      <c r="BU18" s="20">
        <v>0.11895261585168428</v>
      </c>
      <c r="BV18" s="20">
        <v>3.2745356342318865E-4</v>
      </c>
      <c r="BW18" s="60"/>
      <c r="BX18" s="60"/>
      <c r="BY18" s="15"/>
      <c r="BZ18" s="18"/>
      <c r="CA18" s="18"/>
      <c r="CB18" s="18"/>
    </row>
    <row r="19" spans="1:358" s="14" customFormat="1">
      <c r="A19" s="14" t="s">
        <v>127</v>
      </c>
      <c r="B19" s="14" t="s">
        <v>31</v>
      </c>
      <c r="C19" s="14" t="s">
        <v>32</v>
      </c>
      <c r="D19" s="14">
        <v>20.5</v>
      </c>
      <c r="E19" s="16">
        <v>0.99469011864266155</v>
      </c>
      <c r="F19" s="18">
        <v>0.67844377460427274</v>
      </c>
      <c r="G19" s="18"/>
      <c r="H19" s="18"/>
      <c r="I19" s="18"/>
      <c r="J19" s="16">
        <v>2.6444814376134889</v>
      </c>
      <c r="K19" s="16">
        <v>1.8119888057562782E-2</v>
      </c>
      <c r="L19" s="16">
        <v>0.25555867639429308</v>
      </c>
      <c r="M19" s="16">
        <v>2.4965445851680532E-3</v>
      </c>
      <c r="N19" s="16">
        <v>-25.6442084</v>
      </c>
      <c r="O19" s="16">
        <v>0.12470987741345851</v>
      </c>
      <c r="P19" s="21">
        <f>J19/L19</f>
        <v>10.347844475189742</v>
      </c>
      <c r="Q19" s="16">
        <v>3.2323000000000004</v>
      </c>
      <c r="R19" s="16">
        <v>7.9179416517173334E-2</v>
      </c>
      <c r="S19" s="16">
        <v>0.81719999999999993</v>
      </c>
      <c r="T19" s="16">
        <v>7.6084689655672541E-2</v>
      </c>
      <c r="U19" s="15">
        <v>0.65063307873066878</v>
      </c>
      <c r="V19" s="15">
        <v>2.1609571631005975E-3</v>
      </c>
      <c r="W19" s="21">
        <v>-354.61867461339125</v>
      </c>
      <c r="X19" s="21">
        <v>2.1609571631005977</v>
      </c>
      <c r="Y19" s="14">
        <v>3455</v>
      </c>
      <c r="Z19" s="14">
        <v>30</v>
      </c>
      <c r="AA19" s="15">
        <v>7.5547576980992681E-2</v>
      </c>
      <c r="AB19" s="15">
        <v>1.5954891821803444E-3</v>
      </c>
      <c r="AC19" s="15">
        <v>0.11578334572925708</v>
      </c>
      <c r="AD19" s="15">
        <v>1.378066142984806E-2</v>
      </c>
      <c r="AE19" s="20">
        <v>0.12234412425110541</v>
      </c>
      <c r="AF19" s="20">
        <v>4.7948125708776566E-3</v>
      </c>
      <c r="AG19" s="20">
        <v>5.170661310442462E-2</v>
      </c>
      <c r="AH19" s="20">
        <v>8.8905773957692158E-4</v>
      </c>
      <c r="AI19" s="20">
        <v>3.7264366112185428E-2</v>
      </c>
      <c r="AJ19" s="20">
        <v>6.5806176303056249E-4</v>
      </c>
      <c r="AK19" s="20">
        <v>5.422872602958909E-3</v>
      </c>
      <c r="AL19" s="20">
        <v>1.1822272762474016E-4</v>
      </c>
      <c r="AM19" s="20">
        <v>0.84497042523265553</v>
      </c>
      <c r="AN19" s="20">
        <v>6.7032999004759744E-2</v>
      </c>
      <c r="AO19" s="20">
        <v>8.6259698897941856E-2</v>
      </c>
      <c r="AP19" s="20">
        <v>6.5715185440449705E-4</v>
      </c>
      <c r="AQ19" s="20">
        <v>8.2784006380965426E-3</v>
      </c>
      <c r="AR19" s="20">
        <v>1.9685862504362545E-4</v>
      </c>
      <c r="AS19" s="20">
        <v>6.0258886212491607E-3</v>
      </c>
      <c r="AT19" s="20">
        <v>8.5632954918966393E-5</v>
      </c>
      <c r="AU19" s="20">
        <v>1.1474319171730193E-2</v>
      </c>
      <c r="AV19" s="20">
        <v>1.3856890990496617E-4</v>
      </c>
      <c r="AW19" s="20">
        <v>1.389173081755223E-2</v>
      </c>
      <c r="AX19" s="20">
        <v>1.8025649753454861E-4</v>
      </c>
      <c r="AY19" s="20">
        <v>2.0575495526507365E-3</v>
      </c>
      <c r="AZ19" s="20">
        <v>1.5326750272599252E-5</v>
      </c>
      <c r="BA19" s="20">
        <v>2.2507276077668782E-3</v>
      </c>
      <c r="BB19" s="20">
        <v>1.7230152780267437E-5</v>
      </c>
      <c r="BC19" s="20">
        <v>0.17519327681600083</v>
      </c>
      <c r="BD19" s="20">
        <v>1.2626368570154462E-3</v>
      </c>
      <c r="BE19" s="20">
        <v>0.12221230811417791</v>
      </c>
      <c r="BF19" s="20">
        <v>1.2945898398888027E-3</v>
      </c>
      <c r="BG19" s="14" t="s">
        <v>134</v>
      </c>
      <c r="BH19" s="20" t="s">
        <v>135</v>
      </c>
      <c r="BI19" s="20">
        <v>6.5178056957998304E-2</v>
      </c>
      <c r="BJ19" s="20">
        <v>1.3431383898413585E-4</v>
      </c>
      <c r="BK19" s="20">
        <v>2.2190320981283387E-2</v>
      </c>
      <c r="BL19" s="20">
        <v>2.5219169909331894E-5</v>
      </c>
      <c r="BM19" s="20">
        <v>2.9979669489337674E-3</v>
      </c>
      <c r="BN19" s="20">
        <v>3.0623219668001584E-5</v>
      </c>
      <c r="BO19" s="20" t="s">
        <v>134</v>
      </c>
      <c r="BP19" s="20" t="s">
        <v>135</v>
      </c>
      <c r="BQ19" s="20">
        <v>2.2941297743870495E-3</v>
      </c>
      <c r="BR19" s="20">
        <v>9.0920854337009186E-7</v>
      </c>
      <c r="BS19" s="20" t="s">
        <v>134</v>
      </c>
      <c r="BT19" s="20" t="s">
        <v>135</v>
      </c>
      <c r="BU19" s="20">
        <v>9.8910043111423845E-2</v>
      </c>
      <c r="BV19" s="20">
        <v>3.0808295752689176E-4</v>
      </c>
      <c r="BW19" s="18">
        <v>2.7020853397464424</v>
      </c>
      <c r="BX19" s="18">
        <v>6.4956243857976943E-3</v>
      </c>
      <c r="BY19" s="15">
        <v>1.9980997492660774E-2</v>
      </c>
      <c r="BZ19" s="18">
        <v>0.38963508852323719</v>
      </c>
      <c r="CA19" s="18">
        <v>0.21559493919086162</v>
      </c>
      <c r="CB19" s="18">
        <v>5.3015619138834437E-2</v>
      </c>
      <c r="CC19" s="15">
        <v>0.14122608840102574</v>
      </c>
      <c r="CD19" s="16">
        <v>2.1070449422118291</v>
      </c>
      <c r="CE19" s="16">
        <v>6.6004563603644275</v>
      </c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20">
        <v>1.3955522223170818E-9</v>
      </c>
      <c r="CY19" s="20">
        <v>4.9062505627511855E-10</v>
      </c>
      <c r="CZ19" s="20">
        <v>-4.3870369429235075E-8</v>
      </c>
      <c r="DA19" s="20">
        <v>4.1401906342512502E-8</v>
      </c>
      <c r="DB19" s="20">
        <v>1.1987057202136684E-6</v>
      </c>
      <c r="DC19" s="20">
        <v>2.1709497994661276E-8</v>
      </c>
      <c r="DD19" s="20">
        <v>1.1909735046829678E-8</v>
      </c>
      <c r="DE19" s="20">
        <v>2.4531465755389765E-9</v>
      </c>
      <c r="DF19" s="20">
        <v>5.1877383031925937E-7</v>
      </c>
      <c r="DG19" s="20">
        <v>1.4205082659761609E-8</v>
      </c>
      <c r="DH19" s="20">
        <v>1.1348759228987359E-7</v>
      </c>
      <c r="DI19" s="20">
        <v>4.3294500436882246E-9</v>
      </c>
      <c r="DJ19" s="20">
        <v>2.6342528135526141E-10</v>
      </c>
      <c r="DK19" s="20">
        <v>6.1834417184062028E-12</v>
      </c>
      <c r="DL19" s="20" t="s">
        <v>134</v>
      </c>
      <c r="DM19" s="20" t="s">
        <v>134</v>
      </c>
      <c r="DN19" s="20">
        <v>4.5754805826349682E-8</v>
      </c>
      <c r="DO19" s="20">
        <v>7.8257708280418872E-10</v>
      </c>
      <c r="DP19" s="20">
        <v>1.0211198472519648E-5</v>
      </c>
      <c r="DQ19" s="20">
        <v>6.1115363437111136E-8</v>
      </c>
      <c r="DR19" s="20">
        <v>9.3581245116653005E-8</v>
      </c>
      <c r="DS19" s="20">
        <v>9.6201338079566734E-10</v>
      </c>
      <c r="DT19" s="20" t="s">
        <v>134</v>
      </c>
      <c r="DU19" s="20" t="s">
        <v>134</v>
      </c>
      <c r="DV19" s="20" t="s">
        <v>134</v>
      </c>
      <c r="DW19" s="20" t="s">
        <v>134</v>
      </c>
      <c r="DX19" s="20">
        <v>8.5902210926556504E-10</v>
      </c>
      <c r="DY19" s="20">
        <v>3.1570184191766157E-11</v>
      </c>
      <c r="DZ19" s="20" t="s">
        <v>134</v>
      </c>
      <c r="EA19" s="20" t="s">
        <v>134</v>
      </c>
      <c r="EB19" s="20">
        <v>2.2853043633088917E-11</v>
      </c>
      <c r="EC19" s="20">
        <v>1.3290145248255377E-11</v>
      </c>
      <c r="ED19" s="20">
        <v>-4.3344812771270698E-10</v>
      </c>
      <c r="EE19" s="20">
        <v>4.9597203054456773E-11</v>
      </c>
      <c r="EF19" s="20">
        <v>5.7257308750323761E-11</v>
      </c>
      <c r="EG19" s="20">
        <v>1.5384464828881367E-12</v>
      </c>
      <c r="EH19" s="20">
        <v>2.0893299627890191E-8</v>
      </c>
      <c r="EI19" s="20">
        <v>2.8384471230098409E-10</v>
      </c>
      <c r="EJ19" s="20" t="s">
        <v>134</v>
      </c>
      <c r="EK19" s="20" t="s">
        <v>134</v>
      </c>
      <c r="EL19" s="20">
        <v>2.9510479035446623E-9</v>
      </c>
      <c r="EM19" s="20">
        <v>1.2502406333459718E-11</v>
      </c>
      <c r="EN19" s="20" t="s">
        <v>134</v>
      </c>
      <c r="EO19" s="20" t="s">
        <v>134</v>
      </c>
      <c r="EP19" s="20" t="s">
        <v>134</v>
      </c>
      <c r="EQ19" s="20" t="s">
        <v>134</v>
      </c>
      <c r="ER19" s="20" t="s">
        <v>134</v>
      </c>
      <c r="ES19" s="20" t="s">
        <v>134</v>
      </c>
      <c r="ET19" s="20" t="s">
        <v>134</v>
      </c>
      <c r="EU19" s="20" t="s">
        <v>134</v>
      </c>
      <c r="EV19" s="20" t="s">
        <v>134</v>
      </c>
      <c r="EW19" s="20" t="s">
        <v>134</v>
      </c>
      <c r="EX19" s="20">
        <v>7.6928467734207966E-9</v>
      </c>
      <c r="EY19" s="20">
        <v>7.6533981721578804E-11</v>
      </c>
      <c r="EZ19" s="20" t="s">
        <v>134</v>
      </c>
      <c r="FA19" s="20" t="s">
        <v>134</v>
      </c>
      <c r="FB19" s="20">
        <v>-8.6664684311570338E-11</v>
      </c>
      <c r="FC19" s="20">
        <v>2.3963677668595126E-12</v>
      </c>
      <c r="FD19" s="20" t="s">
        <v>134</v>
      </c>
      <c r="FE19" s="20" t="s">
        <v>134</v>
      </c>
      <c r="FF19" s="20" t="s">
        <v>134</v>
      </c>
      <c r="FG19" s="20" t="s">
        <v>134</v>
      </c>
      <c r="FH19" s="20">
        <v>1.7087278796136222E-8</v>
      </c>
      <c r="FI19" s="20">
        <v>1.6346847983962997E-9</v>
      </c>
      <c r="FJ19" s="20">
        <v>9.2741611554523429E-10</v>
      </c>
      <c r="FK19" s="20">
        <v>2.3563631351761062E-11</v>
      </c>
      <c r="FL19" s="20">
        <v>4.1196403036042393E-4</v>
      </c>
      <c r="FM19" s="20">
        <v>1.9925812042260816E-5</v>
      </c>
      <c r="FN19" s="20">
        <v>0.14763547267592489</v>
      </c>
      <c r="FO19" s="20">
        <v>1.0359670536762252E-3</v>
      </c>
      <c r="FP19" s="20">
        <v>6.0083138773009533E-2</v>
      </c>
      <c r="FQ19" s="20">
        <v>1.0864473156257405E-3</v>
      </c>
      <c r="FR19" s="20">
        <v>4.1045121023585074E-3</v>
      </c>
      <c r="FS19" s="20">
        <v>9.8260365982983012E-5</v>
      </c>
      <c r="FT19" s="20">
        <v>6.4560567938026489E-2</v>
      </c>
      <c r="FU19" s="20">
        <v>4.2386708797608201E-4</v>
      </c>
      <c r="FV19" s="20">
        <v>9.3223661849971724E-3</v>
      </c>
      <c r="FW19" s="20">
        <v>2.0780824667021745E-4</v>
      </c>
      <c r="FX19" s="20">
        <v>1.3183790321380113E-5</v>
      </c>
      <c r="FY19" s="20">
        <v>3.0946611752878925E-7</v>
      </c>
      <c r="FZ19" s="20" t="s">
        <v>134</v>
      </c>
      <c r="GA19" s="20" t="s">
        <v>134</v>
      </c>
      <c r="GB19" s="20">
        <v>2.2899159985959607E-3</v>
      </c>
      <c r="GC19" s="20">
        <v>3.9166066813813343E-5</v>
      </c>
      <c r="GD19" s="20">
        <v>0.5121091597785784</v>
      </c>
      <c r="GE19" s="20">
        <v>3.0585475247748056E-3</v>
      </c>
      <c r="GF19" s="20">
        <v>4.6835121795609233E-3</v>
      </c>
      <c r="GG19" s="20">
        <v>4.8146414169213766E-5</v>
      </c>
      <c r="GH19" s="20" t="s">
        <v>134</v>
      </c>
      <c r="GI19" s="20" t="s">
        <v>134</v>
      </c>
      <c r="GJ19" s="20" t="s">
        <v>134</v>
      </c>
      <c r="GK19" s="20" t="s">
        <v>134</v>
      </c>
      <c r="GL19" s="20">
        <v>4.2991953208596957E-5</v>
      </c>
      <c r="GM19" s="20">
        <v>1.5800104175661006E-6</v>
      </c>
      <c r="GN19" s="20" t="s">
        <v>134</v>
      </c>
      <c r="GO19" s="20" t="s">
        <v>134</v>
      </c>
      <c r="GP19" s="20">
        <v>2.4213515232175196E-5</v>
      </c>
      <c r="GQ19" s="20">
        <v>6.1517738517667834E-7</v>
      </c>
      <c r="GR19" s="20">
        <v>3.2750963596825673E-5</v>
      </c>
      <c r="GS19" s="20">
        <v>1.6358342270989106E-6</v>
      </c>
      <c r="GT19" s="20">
        <v>2.8655881054664544E-6</v>
      </c>
      <c r="GU19" s="20">
        <v>7.6995479502623633E-8</v>
      </c>
      <c r="GV19" s="20">
        <v>1.0456584880491836E-3</v>
      </c>
      <c r="GW19" s="20">
        <v>1.4205732842178836E-5</v>
      </c>
      <c r="GX19" s="20" t="s">
        <v>134</v>
      </c>
      <c r="GY19" s="20" t="s">
        <v>134</v>
      </c>
      <c r="GZ19" s="20">
        <v>1.4769272177871063E-4</v>
      </c>
      <c r="HA19" s="20">
        <v>6.2571482419994201E-7</v>
      </c>
      <c r="HB19" s="20" t="s">
        <v>134</v>
      </c>
      <c r="HC19" s="20" t="s">
        <v>134</v>
      </c>
      <c r="HD19" s="20" t="s">
        <v>134</v>
      </c>
      <c r="HE19" s="20" t="s">
        <v>134</v>
      </c>
      <c r="HF19" s="20" t="s">
        <v>134</v>
      </c>
      <c r="HG19" s="20" t="s">
        <v>134</v>
      </c>
      <c r="HH19" s="20" t="s">
        <v>134</v>
      </c>
      <c r="HI19" s="20" t="s">
        <v>134</v>
      </c>
      <c r="HJ19" s="20" t="s">
        <v>134</v>
      </c>
      <c r="HK19" s="20" t="s">
        <v>134</v>
      </c>
      <c r="HL19" s="20">
        <v>4.0178439630509527E-4</v>
      </c>
      <c r="HM19" s="20">
        <v>3.8193560644819373E-6</v>
      </c>
      <c r="HN19" s="20" t="s">
        <v>134</v>
      </c>
      <c r="HO19" s="20" t="s">
        <v>134</v>
      </c>
      <c r="HP19" s="20">
        <v>2.5245272707965999E-6</v>
      </c>
      <c r="HQ19" s="20">
        <v>7.0496158122019466E-8</v>
      </c>
      <c r="HR19" s="20" t="s">
        <v>134</v>
      </c>
      <c r="HS19" s="20" t="s">
        <v>134</v>
      </c>
      <c r="HT19" s="20" t="s">
        <v>134</v>
      </c>
      <c r="HU19" s="20" t="s">
        <v>134</v>
      </c>
      <c r="HV19" s="20">
        <v>1.7912680658093332E-3</v>
      </c>
      <c r="HW19" s="20">
        <v>6.9606948700906066E-5</v>
      </c>
      <c r="HX19" s="20">
        <v>4.6414905756626209E-5</v>
      </c>
      <c r="HY19" s="20">
        <v>1.1793020523833321E-6</v>
      </c>
      <c r="HZ19" s="20" t="s">
        <v>134</v>
      </c>
      <c r="IA19" s="20" t="s">
        <v>134</v>
      </c>
      <c r="IB19" s="20">
        <v>1.5970420794838183</v>
      </c>
      <c r="IC19" s="20">
        <v>2.0831459559560835E-2</v>
      </c>
      <c r="ID19" s="20">
        <v>9.1578004782217679</v>
      </c>
      <c r="IE19" s="20">
        <v>0.24130159492934453</v>
      </c>
      <c r="IF19" s="20">
        <v>2.3372066578208284E-2</v>
      </c>
      <c r="IG19" s="20">
        <v>4.6263361661183786E-3</v>
      </c>
      <c r="IH19" s="20">
        <v>0.28942884687783554</v>
      </c>
      <c r="II19" s="20">
        <v>3.6253241763932277E-2</v>
      </c>
      <c r="IJ19" s="20">
        <v>0.87820513819020418</v>
      </c>
      <c r="IK19" s="20">
        <v>3.7874201011511094E-2</v>
      </c>
      <c r="IL19" s="20">
        <v>8.1677911080090607E-2</v>
      </c>
      <c r="IM19" s="20">
        <v>5.8701543728308823E-3</v>
      </c>
      <c r="IN19" s="20">
        <v>4.0642813307016183E-3</v>
      </c>
      <c r="IO19" s="20">
        <v>4.2755253964100136E-4</v>
      </c>
      <c r="IP19" s="20">
        <v>2.3609502435819326E-2</v>
      </c>
      <c r="IQ19" s="20">
        <v>5.6424741185532961E-4</v>
      </c>
      <c r="IR19" s="20">
        <v>4.1675184759538009E-3</v>
      </c>
      <c r="IS19" s="20">
        <v>5.0090247441332406E-4</v>
      </c>
      <c r="IT19" s="20">
        <v>0.63327630975956029</v>
      </c>
      <c r="IU19" s="20">
        <v>1.105730358218807E-2</v>
      </c>
      <c r="IV19" s="20">
        <v>0.75831538304561374</v>
      </c>
      <c r="IW19" s="20">
        <v>2.6665419211807486E-3</v>
      </c>
      <c r="IX19" s="20">
        <v>4.7120481790308977E-2</v>
      </c>
      <c r="IY19" s="20">
        <v>5.8970780934297293E-3</v>
      </c>
      <c r="IZ19" s="20">
        <v>0.10113378314409072</v>
      </c>
      <c r="JA19" s="20">
        <v>1.7064764165780541E-3</v>
      </c>
      <c r="JB19" s="20">
        <v>4.4952018916512904E-2</v>
      </c>
      <c r="JC19" s="20">
        <v>9.1940237509032213E-4</v>
      </c>
      <c r="JD19" s="20">
        <v>9.925380116559265E-4</v>
      </c>
      <c r="JE19" s="20">
        <v>4.9114098362653368E-4</v>
      </c>
      <c r="JF19" s="20">
        <v>7.7860358171616354E-3</v>
      </c>
      <c r="JG19" s="20">
        <v>6.2482710051585877E-4</v>
      </c>
      <c r="JH19" s="20">
        <v>1.0019344967161316E-2</v>
      </c>
      <c r="JI19" s="20">
        <v>1.4050484511322228E-3</v>
      </c>
      <c r="JJ19" s="20">
        <v>4.9741482601421801E-5</v>
      </c>
      <c r="JK19" s="20">
        <v>2.5542783915223454E-4</v>
      </c>
      <c r="JL19" s="20">
        <v>1.0308639552644489E-2</v>
      </c>
      <c r="JM19" s="20">
        <v>2.4156596837598453E-4</v>
      </c>
      <c r="JN19" s="20">
        <v>7.4070667772258127E-3</v>
      </c>
      <c r="JO19" s="20">
        <v>3.2948691299850198E-4</v>
      </c>
      <c r="JP19" s="20">
        <v>3.0770812350997614E-2</v>
      </c>
      <c r="JQ19" s="20">
        <v>6.8281082083416415E-4</v>
      </c>
      <c r="JR19" s="20" t="s">
        <v>134</v>
      </c>
      <c r="JS19" s="20" t="s">
        <v>134</v>
      </c>
      <c r="JT19" s="20" t="s">
        <v>134</v>
      </c>
      <c r="JU19" s="20" t="s">
        <v>134</v>
      </c>
      <c r="JV19" s="20">
        <v>1.6036205753300697E-4</v>
      </c>
      <c r="JW19" s="20">
        <v>1.4274407479135817E-5</v>
      </c>
      <c r="JX19" s="20">
        <v>6.5547245859609365E-3</v>
      </c>
      <c r="JY19" s="20">
        <v>2.9164637944871546E-4</v>
      </c>
      <c r="JZ19" s="20" t="s">
        <v>134</v>
      </c>
      <c r="KA19" s="20" t="s">
        <v>134</v>
      </c>
      <c r="KB19" s="20">
        <v>0.12144618602994901</v>
      </c>
      <c r="KC19" s="20">
        <v>5.1302421442134163E-4</v>
      </c>
      <c r="KD19" s="20">
        <v>1.3157690267388562E-4</v>
      </c>
      <c r="KE19" s="20">
        <v>4.7428771564295538E-6</v>
      </c>
      <c r="KF19" s="20">
        <v>1.3026281154085613E-2</v>
      </c>
      <c r="KG19" s="20">
        <v>1.5219140521861407E-4</v>
      </c>
      <c r="KH19" s="20" t="s">
        <v>134</v>
      </c>
      <c r="KI19" s="20" t="s">
        <v>134</v>
      </c>
      <c r="KJ19" s="20">
        <v>3.6820529843481267E-5</v>
      </c>
      <c r="KK19" s="20">
        <v>8.6235204687797111E-5</v>
      </c>
      <c r="KL19" s="20">
        <v>3.6282838305729763</v>
      </c>
      <c r="KM19" s="20">
        <v>6.2995938072931718E-2</v>
      </c>
      <c r="KN19" s="20">
        <v>8.1440098620751567E-3</v>
      </c>
      <c r="KO19" s="20">
        <v>2.9019354989104091E-4</v>
      </c>
    </row>
    <row r="20" spans="1:358" s="14" customFormat="1">
      <c r="A20" s="14" t="s">
        <v>127</v>
      </c>
      <c r="B20" s="14" t="s">
        <v>33</v>
      </c>
      <c r="C20" s="14" t="s">
        <v>34</v>
      </c>
      <c r="D20" s="14">
        <v>33.5</v>
      </c>
      <c r="E20" s="16">
        <v>0.98645248258818252</v>
      </c>
      <c r="F20" s="18">
        <v>0.3737272253028574</v>
      </c>
      <c r="G20" s="18"/>
      <c r="H20" s="18"/>
      <c r="I20" s="18"/>
      <c r="Q20" s="16">
        <v>2.8996</v>
      </c>
      <c r="R20" s="16">
        <v>6.1814237842102181E-2</v>
      </c>
      <c r="S20" s="16">
        <v>0.7429</v>
      </c>
      <c r="T20" s="16">
        <v>3.6062445840513879E-2</v>
      </c>
      <c r="AA20" s="15">
        <v>3.8405473117724728E-2</v>
      </c>
      <c r="AB20" s="15">
        <v>4.5147516586356027E-3</v>
      </c>
      <c r="AC20" s="15">
        <v>6.3106806584224767E-2</v>
      </c>
      <c r="AD20" s="15">
        <v>1.2583427560701577E-2</v>
      </c>
      <c r="AE20" s="20">
        <v>9.0047440465819417E-2</v>
      </c>
      <c r="AF20" s="20">
        <v>1.4024831459081583E-3</v>
      </c>
      <c r="AG20" s="20">
        <v>4.1262517332314411E-2</v>
      </c>
      <c r="AH20" s="20">
        <v>1.3116142338768413E-3</v>
      </c>
      <c r="AI20" s="20">
        <v>2.906919533306683E-2</v>
      </c>
      <c r="AJ20" s="20">
        <v>1.7862164572773637E-3</v>
      </c>
      <c r="AK20" s="20">
        <v>4.71114416078325E-3</v>
      </c>
      <c r="AL20" s="20">
        <v>6.6269107016529651E-4</v>
      </c>
      <c r="AM20" s="20">
        <v>0.60671603844755673</v>
      </c>
      <c r="AN20" s="20">
        <v>5.3744094487991119E-2</v>
      </c>
      <c r="AO20" s="20">
        <v>4.9663124895410748E-2</v>
      </c>
      <c r="AP20" s="20">
        <v>5.5773930523572591E-3</v>
      </c>
      <c r="AQ20" s="20">
        <v>7.7634223261701038E-3</v>
      </c>
      <c r="AR20" s="20">
        <v>3.9959646261278364E-4</v>
      </c>
      <c r="AS20" s="20">
        <v>1.5909443372984913E-2</v>
      </c>
      <c r="AT20" s="20">
        <v>3.5013390826868439E-5</v>
      </c>
      <c r="AU20" s="20">
        <v>4.0675067266106098E-2</v>
      </c>
      <c r="AV20" s="20">
        <v>2.3567573408151565E-4</v>
      </c>
      <c r="AW20" s="20">
        <v>3.7185784164122097E-2</v>
      </c>
      <c r="AX20" s="20">
        <v>2.6068619876788718E-4</v>
      </c>
      <c r="AY20" s="20">
        <v>1.4922963542338115E-2</v>
      </c>
      <c r="AZ20" s="20">
        <v>2.2219177673135987E-6</v>
      </c>
      <c r="BA20" s="20">
        <v>4.7508671588226284E-3</v>
      </c>
      <c r="BB20" s="20">
        <v>1.781109566986803E-5</v>
      </c>
      <c r="BC20" s="20">
        <v>0.4215828792505168</v>
      </c>
      <c r="BD20" s="20">
        <v>2.9414472080048531E-4</v>
      </c>
      <c r="BE20" s="20">
        <v>0.23341831704193697</v>
      </c>
      <c r="BF20" s="20">
        <v>2.165705140431407E-5</v>
      </c>
      <c r="BG20" s="20">
        <v>1.5170410911632128E-6</v>
      </c>
      <c r="BH20" s="67">
        <v>1.7201366731398588E-9</v>
      </c>
      <c r="BI20" s="20">
        <v>0.36314725027266093</v>
      </c>
      <c r="BJ20" s="20">
        <v>6.3161825159800166E-3</v>
      </c>
      <c r="BK20" s="20">
        <v>0.31978327266194423</v>
      </c>
      <c r="BL20" s="20">
        <v>6.876110448058287E-3</v>
      </c>
      <c r="BM20" s="20">
        <v>0.11660739849993783</v>
      </c>
      <c r="BN20" s="20">
        <v>1.1338440237092681E-2</v>
      </c>
      <c r="BO20" s="20" t="s">
        <v>134</v>
      </c>
      <c r="BP20" s="20" t="s">
        <v>135</v>
      </c>
      <c r="BQ20" s="20">
        <v>1.3228015600088103E-2</v>
      </c>
      <c r="BR20" s="20">
        <v>1.575072593939322E-4</v>
      </c>
      <c r="BS20" s="20" t="s">
        <v>134</v>
      </c>
      <c r="BT20" s="20" t="s">
        <v>135</v>
      </c>
      <c r="BU20" s="20">
        <v>0.47986040947427011</v>
      </c>
      <c r="BV20" s="20">
        <v>7.0128744664952119E-3</v>
      </c>
      <c r="BY20" s="15"/>
      <c r="BZ20" s="18"/>
      <c r="CA20" s="18"/>
      <c r="CB20" s="18"/>
    </row>
    <row r="21" spans="1:358" s="14" customFormat="1">
      <c r="A21" s="14" t="s">
        <v>127</v>
      </c>
      <c r="B21" s="14" t="s">
        <v>35</v>
      </c>
      <c r="C21" s="14" t="s">
        <v>36</v>
      </c>
      <c r="D21" s="14">
        <v>48.5</v>
      </c>
      <c r="E21" s="16">
        <v>0.92582193835998117</v>
      </c>
      <c r="F21" s="18">
        <v>0.51102591471162728</v>
      </c>
      <c r="G21" s="18"/>
      <c r="H21" s="18"/>
      <c r="I21" s="18"/>
      <c r="J21" s="16">
        <v>2.1043309848044545</v>
      </c>
      <c r="K21" s="16">
        <v>1.9766394969814804E-2</v>
      </c>
      <c r="L21" s="16">
        <v>0.1572668077199883</v>
      </c>
      <c r="M21" s="16">
        <v>8.474755254557928E-4</v>
      </c>
      <c r="N21" s="16">
        <v>-25.757725999999998</v>
      </c>
      <c r="O21" s="16">
        <v>7.4412523539521991E-2</v>
      </c>
      <c r="P21" s="21">
        <f>J21/L21</f>
        <v>13.380642840739739</v>
      </c>
      <c r="Q21" s="16">
        <v>2.3257499999999998</v>
      </c>
      <c r="R21" s="16">
        <v>8.783623967361058E-2</v>
      </c>
      <c r="S21" s="16">
        <v>0.73224999999999996</v>
      </c>
      <c r="T21" s="16">
        <v>2.2698127676088187E-2</v>
      </c>
      <c r="U21" s="15">
        <v>0.53821866971279386</v>
      </c>
      <c r="V21" s="15">
        <v>1.8677254654579419E-3</v>
      </c>
      <c r="W21" s="21">
        <v>-466.12570162475663</v>
      </c>
      <c r="X21" s="21">
        <v>1.8677254654579418</v>
      </c>
      <c r="Y21" s="14">
        <v>4975</v>
      </c>
      <c r="Z21" s="14">
        <v>30</v>
      </c>
      <c r="AA21" s="15">
        <v>4.3205149679391618E-2</v>
      </c>
      <c r="AB21" s="15">
        <v>1.4672801552631769E-3</v>
      </c>
      <c r="AC21" s="15">
        <v>3.2597713575447801E-2</v>
      </c>
      <c r="AD21" s="15">
        <v>6.4545098762260869E-4</v>
      </c>
      <c r="AE21" s="20">
        <v>8.5907925332416341E-2</v>
      </c>
      <c r="AF21" s="20">
        <v>5.0095011214023702E-5</v>
      </c>
      <c r="AG21" s="20">
        <v>5.3343919153992198E-2</v>
      </c>
      <c r="AH21" s="20">
        <v>3.067269631476435E-3</v>
      </c>
      <c r="AI21" s="20">
        <v>3.3917279623785032E-2</v>
      </c>
      <c r="AJ21" s="20">
        <v>1.8418770907930838E-3</v>
      </c>
      <c r="AK21" s="20">
        <v>1.1514897386896419E-3</v>
      </c>
      <c r="AL21" s="20">
        <v>3.721882795602247E-6</v>
      </c>
      <c r="AM21" s="20">
        <v>0.52107756997933696</v>
      </c>
      <c r="AN21" s="20">
        <v>1.0656760830973671E-3</v>
      </c>
      <c r="AO21" s="20">
        <v>4.3598261013681618E-2</v>
      </c>
      <c r="AP21" s="20">
        <v>1.8951320949126505E-3</v>
      </c>
      <c r="AQ21" s="20">
        <v>1.1630700969829997E-2</v>
      </c>
      <c r="AR21" s="20">
        <v>2.6138491356890626E-4</v>
      </c>
      <c r="AS21" s="20">
        <v>1.4713284984963562E-2</v>
      </c>
      <c r="AT21" s="20">
        <v>2.2595815024170223E-5</v>
      </c>
      <c r="AU21" s="20">
        <v>3.8809835382520134E-2</v>
      </c>
      <c r="AV21" s="20">
        <v>1.414112599583153E-4</v>
      </c>
      <c r="AW21" s="20">
        <v>2.9253698018410212E-2</v>
      </c>
      <c r="AX21" s="20">
        <v>5.7817209656905338E-4</v>
      </c>
      <c r="AY21" s="20">
        <v>1.6876167469318002E-2</v>
      </c>
      <c r="AZ21" s="20">
        <v>9.4949215586737385E-6</v>
      </c>
      <c r="BA21" s="20">
        <v>1.0599896006916942E-3</v>
      </c>
      <c r="BB21" s="20">
        <v>3.7989088612031825E-6</v>
      </c>
      <c r="BC21" s="20">
        <v>0.39005299854143127</v>
      </c>
      <c r="BD21" s="20">
        <v>3.6163144111196077E-4</v>
      </c>
      <c r="BE21" s="20">
        <v>0.1478803675579719</v>
      </c>
      <c r="BF21" s="20">
        <v>3.7884273474392239E-4</v>
      </c>
      <c r="BG21" s="20">
        <v>2.0814923334063941E-6</v>
      </c>
      <c r="BH21" s="67">
        <v>1.8228125095586933E-8</v>
      </c>
      <c r="BI21" s="20">
        <v>5.854433038640771E-2</v>
      </c>
      <c r="BJ21" s="20">
        <v>4.1127256684035923E-4</v>
      </c>
      <c r="BK21" s="20">
        <v>5.9932781493171036E-2</v>
      </c>
      <c r="BL21" s="20">
        <v>2.3139440204614442E-5</v>
      </c>
      <c r="BM21" s="20">
        <v>1.820736892109415E-2</v>
      </c>
      <c r="BN21" s="20">
        <v>1.2218401274448077E-4</v>
      </c>
      <c r="BO21" s="20" t="s">
        <v>134</v>
      </c>
      <c r="BP21" s="20" t="s">
        <v>135</v>
      </c>
      <c r="BQ21" s="20">
        <v>3.8439488696455988E-4</v>
      </c>
      <c r="BR21" s="20">
        <v>2.4749320719829416E-7</v>
      </c>
      <c r="BS21" s="20" t="s">
        <v>134</v>
      </c>
      <c r="BT21" s="20" t="s">
        <v>135</v>
      </c>
      <c r="BU21" s="20">
        <v>4.4924576336867326E-2</v>
      </c>
      <c r="BV21" s="20">
        <v>3.532753645713139E-4</v>
      </c>
      <c r="BW21" s="18">
        <v>0.22472567482821132</v>
      </c>
      <c r="BX21" s="18">
        <v>7.8486483157368704E-3</v>
      </c>
      <c r="BY21" s="15">
        <v>3.9448442240429234E-3</v>
      </c>
      <c r="BZ21" s="18">
        <v>0.13957724214996392</v>
      </c>
      <c r="CA21" s="18">
        <v>6.3888554687936208E-2</v>
      </c>
      <c r="CB21" s="18">
        <v>1.8210714291878538E-2</v>
      </c>
      <c r="CC21" s="15">
        <v>4.4916414676741262E-2</v>
      </c>
      <c r="CD21" s="16">
        <v>1.8171892432266341</v>
      </c>
      <c r="CE21" s="16">
        <v>6.5038989905907547</v>
      </c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20">
        <v>1.1489911803315642E-9</v>
      </c>
      <c r="CY21" s="20">
        <v>3.8632311526679629E-10</v>
      </c>
      <c r="CZ21" s="20">
        <v>3.9720240786850643E-7</v>
      </c>
      <c r="DA21" s="20">
        <v>5.2980627929569426E-8</v>
      </c>
      <c r="DB21" s="20">
        <v>7.7888951599421821E-7</v>
      </c>
      <c r="DC21" s="20">
        <v>4.3149058925505001E-8</v>
      </c>
      <c r="DD21" s="20">
        <v>2.3585122429237233E-8</v>
      </c>
      <c r="DE21" s="20">
        <v>1.499903324985382E-9</v>
      </c>
      <c r="DF21" s="20">
        <v>5.6337772729255456E-7</v>
      </c>
      <c r="DG21" s="20">
        <v>2.1001811823943836E-8</v>
      </c>
      <c r="DH21" s="20">
        <v>1.6159559430163846E-7</v>
      </c>
      <c r="DI21" s="20">
        <v>2.9453528320693945E-9</v>
      </c>
      <c r="DJ21" s="20">
        <v>8.0136111290447649E-11</v>
      </c>
      <c r="DK21" s="20">
        <v>1.8879088130491525E-12</v>
      </c>
      <c r="DL21" s="20">
        <v>3.7297827176690792E-10</v>
      </c>
      <c r="DM21" s="20">
        <v>1.559248299847961E-11</v>
      </c>
      <c r="DN21" s="20">
        <v>7.9615844723052473E-9</v>
      </c>
      <c r="DO21" s="20">
        <v>9.6547823857560988E-11</v>
      </c>
      <c r="DP21" s="20">
        <v>7.1753106085070069E-6</v>
      </c>
      <c r="DQ21" s="20">
        <v>1.0964919572900097E-7</v>
      </c>
      <c r="DR21" s="20">
        <v>1.590408066552811E-8</v>
      </c>
      <c r="DS21" s="20">
        <v>7.8887278411443252E-10</v>
      </c>
      <c r="DT21" s="20" t="s">
        <v>134</v>
      </c>
      <c r="DU21" s="20" t="s">
        <v>134</v>
      </c>
      <c r="DV21" s="20" t="s">
        <v>134</v>
      </c>
      <c r="DW21" s="20" t="s">
        <v>134</v>
      </c>
      <c r="DX21" s="20">
        <v>2.7609420188960298E-10</v>
      </c>
      <c r="DY21" s="20">
        <v>1.1980266814669126E-11</v>
      </c>
      <c r="DZ21" s="20" t="s">
        <v>134</v>
      </c>
      <c r="EA21" s="20" t="s">
        <v>134</v>
      </c>
      <c r="EB21" s="20">
        <v>2.309215435921547E-11</v>
      </c>
      <c r="EC21" s="20">
        <v>1.1434779310048668E-11</v>
      </c>
      <c r="ED21" s="20">
        <v>-4.9095675530048209E-10</v>
      </c>
      <c r="EE21" s="20">
        <v>4.3538165332401488E-11</v>
      </c>
      <c r="EF21" s="20" t="s">
        <v>134</v>
      </c>
      <c r="EG21" s="20" t="s">
        <v>134</v>
      </c>
      <c r="EH21" s="20">
        <v>1.222771747229409E-8</v>
      </c>
      <c r="EI21" s="20">
        <v>1.7367844202834873E-10</v>
      </c>
      <c r="EJ21" s="20" t="s">
        <v>134</v>
      </c>
      <c r="EK21" s="20" t="s">
        <v>134</v>
      </c>
      <c r="EL21" s="20">
        <v>2.8357923229620256E-9</v>
      </c>
      <c r="EM21" s="20">
        <v>3.0891273899052405E-11</v>
      </c>
      <c r="EN21" s="20" t="s">
        <v>134</v>
      </c>
      <c r="EO21" s="20" t="s">
        <v>134</v>
      </c>
      <c r="EP21" s="20" t="s">
        <v>134</v>
      </c>
      <c r="EQ21" s="20" t="s">
        <v>134</v>
      </c>
      <c r="ER21" s="20" t="s">
        <v>134</v>
      </c>
      <c r="ES21" s="20" t="s">
        <v>134</v>
      </c>
      <c r="ET21" s="20" t="s">
        <v>134</v>
      </c>
      <c r="EU21" s="20" t="s">
        <v>134</v>
      </c>
      <c r="EV21" s="20">
        <v>1.3512166190345433E-11</v>
      </c>
      <c r="EW21" s="20">
        <v>9.7738584626360757E-13</v>
      </c>
      <c r="EX21" s="20">
        <v>3.6383308064450758E-9</v>
      </c>
      <c r="EY21" s="20">
        <v>3.6602609648143206E-11</v>
      </c>
      <c r="EZ21" s="20" t="s">
        <v>134</v>
      </c>
      <c r="FA21" s="20" t="s">
        <v>134</v>
      </c>
      <c r="FB21" s="20" t="s">
        <v>134</v>
      </c>
      <c r="FC21" s="20" t="s">
        <v>134</v>
      </c>
      <c r="FD21" s="20" t="s">
        <v>134</v>
      </c>
      <c r="FE21" s="20" t="s">
        <v>134</v>
      </c>
      <c r="FF21" s="20" t="s">
        <v>134</v>
      </c>
      <c r="FG21" s="20" t="s">
        <v>134</v>
      </c>
      <c r="FH21" s="20">
        <v>1.3689977045535527E-8</v>
      </c>
      <c r="FI21" s="20">
        <v>9.9215599462317938E-10</v>
      </c>
      <c r="FJ21" s="20">
        <v>4.4404565015804029E-10</v>
      </c>
      <c r="FK21" s="20">
        <v>2.146084883958966E-11</v>
      </c>
      <c r="FL21" s="20">
        <v>1.8397591301076849E-3</v>
      </c>
      <c r="FM21" s="20">
        <v>7.3298044199095869E-5</v>
      </c>
      <c r="FN21" s="20">
        <v>0.7788506094764972</v>
      </c>
      <c r="FO21" s="20">
        <v>1.0695977863403251E-2</v>
      </c>
      <c r="FP21" s="20">
        <v>0.19785615075401472</v>
      </c>
      <c r="FQ21" s="20">
        <v>1.0937967538676365E-2</v>
      </c>
      <c r="FR21" s="20">
        <v>2.1858618894545288E-2</v>
      </c>
      <c r="FS21" s="20">
        <v>1.8320616995958896E-4</v>
      </c>
      <c r="FT21" s="20">
        <v>0.31751138313293503</v>
      </c>
      <c r="FU21" s="20">
        <v>4.6551012904184584E-3</v>
      </c>
      <c r="FV21" s="20">
        <v>5.7450743937619182E-2</v>
      </c>
      <c r="FW21" s="20">
        <v>6.930553326359788E-4</v>
      </c>
      <c r="FX21" s="20">
        <v>2.0314138338349682E-5</v>
      </c>
      <c r="FY21" s="20">
        <v>4.7857626456902407E-7</v>
      </c>
      <c r="FZ21" s="20">
        <v>9.4548289003071572E-5</v>
      </c>
      <c r="GA21" s="20">
        <v>3.9526232502279784E-6</v>
      </c>
      <c r="GB21" s="20">
        <v>2.0182253138872281E-3</v>
      </c>
      <c r="GC21" s="20">
        <v>2.4474432543907331E-5</v>
      </c>
      <c r="GD21" s="20">
        <v>1.8237228755617514</v>
      </c>
      <c r="GE21" s="20">
        <v>2.7795284715689345E-2</v>
      </c>
      <c r="GF21" s="20">
        <v>4.0316118361775543E-3</v>
      </c>
      <c r="GG21" s="20">
        <v>1.9997564905261235E-4</v>
      </c>
      <c r="GH21" s="20" t="s">
        <v>134</v>
      </c>
      <c r="GI21" s="20" t="s">
        <v>134</v>
      </c>
      <c r="GJ21" s="20" t="s">
        <v>134</v>
      </c>
      <c r="GK21" s="20" t="s">
        <v>134</v>
      </c>
      <c r="GL21" s="20">
        <v>6.9988619628342215E-5</v>
      </c>
      <c r="GM21" s="20">
        <v>3.03694293976227E-6</v>
      </c>
      <c r="GN21" s="20" t="s">
        <v>134</v>
      </c>
      <c r="GO21" s="20" t="s">
        <v>134</v>
      </c>
      <c r="GP21" s="20">
        <v>1.1027159091844981E-4</v>
      </c>
      <c r="GQ21" s="20">
        <v>2.6630454570729052E-6</v>
      </c>
      <c r="GR21" s="20">
        <v>1.2196766701406005E-4</v>
      </c>
      <c r="GS21" s="20">
        <v>7.0996753937603094E-6</v>
      </c>
      <c r="GT21" s="20" t="s">
        <v>134</v>
      </c>
      <c r="GU21" s="20" t="s">
        <v>134</v>
      </c>
      <c r="GV21" s="20">
        <v>3.0996705516960466E-3</v>
      </c>
      <c r="GW21" s="20">
        <v>4.4026692098465725E-5</v>
      </c>
      <c r="GX21" s="20" t="s">
        <v>134</v>
      </c>
      <c r="GY21" s="20" t="s">
        <v>134</v>
      </c>
      <c r="GZ21" s="20">
        <v>7.1886040662354168E-4</v>
      </c>
      <c r="HA21" s="20">
        <v>7.8307968945331611E-6</v>
      </c>
      <c r="HB21" s="20" t="s">
        <v>134</v>
      </c>
      <c r="HC21" s="20" t="s">
        <v>134</v>
      </c>
      <c r="HD21" s="20" t="s">
        <v>134</v>
      </c>
      <c r="HE21" s="20" t="s">
        <v>134</v>
      </c>
      <c r="HF21" s="20" t="s">
        <v>134</v>
      </c>
      <c r="HG21" s="20" t="s">
        <v>134</v>
      </c>
      <c r="HH21" s="20" t="s">
        <v>134</v>
      </c>
      <c r="HI21" s="20" t="s">
        <v>134</v>
      </c>
      <c r="HJ21" s="20">
        <v>3.4252724373732856E-6</v>
      </c>
      <c r="HK21" s="20">
        <v>2.4776284962196084E-7</v>
      </c>
      <c r="HL21" s="20">
        <v>9.9823249168296902E-4</v>
      </c>
      <c r="HM21" s="20">
        <v>9.1853816026672825E-6</v>
      </c>
      <c r="HN21" s="20" t="s">
        <v>134</v>
      </c>
      <c r="HO21" s="20" t="s">
        <v>134</v>
      </c>
      <c r="HP21" s="20" t="s">
        <v>134</v>
      </c>
      <c r="HQ21" s="20" t="s">
        <v>134</v>
      </c>
      <c r="HR21" s="20" t="s">
        <v>134</v>
      </c>
      <c r="HS21" s="20" t="s">
        <v>134</v>
      </c>
      <c r="HT21" s="20" t="s">
        <v>134</v>
      </c>
      <c r="HU21" s="20" t="s">
        <v>134</v>
      </c>
      <c r="HV21" s="20">
        <v>7.7072606835286474E-3</v>
      </c>
      <c r="HW21" s="20">
        <v>1.5936032919834406E-4</v>
      </c>
      <c r="HX21" s="20">
        <v>1.1256354495614393E-4</v>
      </c>
      <c r="HY21" s="20">
        <v>5.4402271980198094E-6</v>
      </c>
      <c r="HZ21" s="20" t="s">
        <v>134</v>
      </c>
      <c r="IA21" s="20" t="s">
        <v>134</v>
      </c>
      <c r="IB21" s="20">
        <v>1.4493011250801657</v>
      </c>
      <c r="IC21" s="20">
        <v>2.3262105638824106E-2</v>
      </c>
      <c r="ID21" s="20">
        <v>16.215118360225691</v>
      </c>
      <c r="IE21" s="20">
        <v>0.18811235026656181</v>
      </c>
      <c r="IF21" s="20">
        <v>3.88881197228629E-2</v>
      </c>
      <c r="IG21" s="20">
        <v>1.2536190227627758E-2</v>
      </c>
      <c r="IH21" s="20">
        <v>0.32595015590481713</v>
      </c>
      <c r="II21" s="20">
        <v>2.6539634830530102E-2</v>
      </c>
      <c r="IJ21" s="20">
        <v>0.89357170512276851</v>
      </c>
      <c r="IK21" s="20">
        <v>6.0729844201490753E-2</v>
      </c>
      <c r="IL21" s="20">
        <v>8.1301087643748243E-2</v>
      </c>
      <c r="IM21" s="20">
        <v>1.5698627897712553E-2</v>
      </c>
      <c r="IN21" s="20">
        <v>4.3222764392240971E-3</v>
      </c>
      <c r="IO21" s="20">
        <v>1.205001079045562E-3</v>
      </c>
      <c r="IP21" s="20">
        <v>7.1603270615466869E-2</v>
      </c>
      <c r="IQ21" s="20">
        <v>1.9193708085857668E-3</v>
      </c>
      <c r="IR21" s="20">
        <v>2.0987758471857606E-3</v>
      </c>
      <c r="IS21" s="20">
        <v>1.4358935568700873E-3</v>
      </c>
      <c r="IT21" s="20">
        <v>0.2040200119798809</v>
      </c>
      <c r="IU21" s="20">
        <v>2.4357857173468132E-2</v>
      </c>
      <c r="IV21" s="20">
        <v>0.34203231445397236</v>
      </c>
      <c r="IW21" s="20">
        <v>5.6609380404910861E-3</v>
      </c>
      <c r="IX21" s="20" t="s">
        <v>134</v>
      </c>
      <c r="IY21" s="20" t="s">
        <v>134</v>
      </c>
      <c r="IZ21" s="20">
        <v>9.7186683350879141E-2</v>
      </c>
      <c r="JA21" s="20">
        <v>3.9853341469509281E-3</v>
      </c>
      <c r="JB21" s="20">
        <v>3.0257369255180931E-2</v>
      </c>
      <c r="JC21" s="20">
        <v>2.6745705000479751E-3</v>
      </c>
      <c r="JD21" s="20">
        <v>1.1519060060385018E-3</v>
      </c>
      <c r="JE21" s="20">
        <v>1.4294152076610143E-3</v>
      </c>
      <c r="JF21" s="20">
        <v>4.3497750147511574E-2</v>
      </c>
      <c r="JG21" s="20">
        <v>1.8312500379076718E-3</v>
      </c>
      <c r="JH21" s="20">
        <v>9.9850153232738433E-3</v>
      </c>
      <c r="JI21" s="20">
        <v>4.0850613737249486E-3</v>
      </c>
      <c r="JJ21" s="20" t="s">
        <v>134</v>
      </c>
      <c r="JK21" s="20" t="s">
        <v>134</v>
      </c>
      <c r="JL21" s="20">
        <v>6.3494142739772474E-3</v>
      </c>
      <c r="JM21" s="20">
        <v>6.1727535628549343E-4</v>
      </c>
      <c r="JN21" s="20">
        <v>7.5901028726449394E-3</v>
      </c>
      <c r="JO21" s="20">
        <v>9.2559703881379398E-4</v>
      </c>
      <c r="JP21" s="20">
        <v>7.7440558715140231E-2</v>
      </c>
      <c r="JQ21" s="20">
        <v>1.4714055034817145E-3</v>
      </c>
      <c r="JR21" s="20" t="s">
        <v>134</v>
      </c>
      <c r="JS21" s="20" t="s">
        <v>134</v>
      </c>
      <c r="JT21" s="20" t="s">
        <v>134</v>
      </c>
      <c r="JU21" s="20" t="s">
        <v>134</v>
      </c>
      <c r="JV21" s="20">
        <v>3.476101881615716E-4</v>
      </c>
      <c r="JW21" s="20">
        <v>6.7980158792535459E-5</v>
      </c>
      <c r="JX21" s="20">
        <v>8.8804967930100603E-3</v>
      </c>
      <c r="JY21" s="20">
        <v>7.6157059155079808E-4</v>
      </c>
      <c r="JZ21" s="20" t="s">
        <v>134</v>
      </c>
      <c r="KA21" s="20" t="s">
        <v>134</v>
      </c>
      <c r="KB21" s="20">
        <v>8.6834212862264018E-2</v>
      </c>
      <c r="KC21" s="20">
        <v>1.1664072273291361E-3</v>
      </c>
      <c r="KD21" s="20">
        <v>1.4904139062246757E-4</v>
      </c>
      <c r="KE21" s="20">
        <v>7.1155395190860151E-6</v>
      </c>
      <c r="KF21" s="20">
        <v>6.9449369276854654E-3</v>
      </c>
      <c r="KG21" s="20">
        <v>7.6860038827697181E-5</v>
      </c>
      <c r="KH21" s="20" t="s">
        <v>134</v>
      </c>
      <c r="KI21" s="20" t="s">
        <v>134</v>
      </c>
      <c r="KJ21" s="20">
        <v>6.5100834453999805E-5</v>
      </c>
      <c r="KK21" s="20">
        <v>2.5071648882152937E-4</v>
      </c>
      <c r="KL21" s="20">
        <v>7.0754500623548626</v>
      </c>
      <c r="KM21" s="20">
        <v>0.11418466540309258</v>
      </c>
      <c r="KN21" s="20">
        <v>8.5750611652639901E-3</v>
      </c>
      <c r="KO21" s="20">
        <v>2.5760291347325532E-4</v>
      </c>
    </row>
    <row r="22" spans="1:358" s="14" customFormat="1">
      <c r="A22" s="14" t="s">
        <v>127</v>
      </c>
      <c r="B22" s="14" t="s">
        <v>37</v>
      </c>
      <c r="C22" s="14" t="s">
        <v>38</v>
      </c>
      <c r="D22" s="14">
        <v>63.5</v>
      </c>
      <c r="E22" s="16">
        <v>0.28064006522957757</v>
      </c>
      <c r="F22" s="18">
        <v>0.59275885386539373</v>
      </c>
      <c r="G22" s="18"/>
      <c r="H22" s="18"/>
      <c r="I22" s="18"/>
      <c r="Q22" s="16">
        <v>1.4242499999999998</v>
      </c>
      <c r="R22" s="16">
        <v>6.0715278143149566E-2</v>
      </c>
      <c r="S22" s="16">
        <v>0.79225000000000001</v>
      </c>
      <c r="T22" s="16">
        <v>3.7971634149717659E-2</v>
      </c>
      <c r="AA22" s="15">
        <v>7.5146307839371956E-2</v>
      </c>
      <c r="AB22" s="15">
        <v>3.5069791788456877E-3</v>
      </c>
      <c r="AC22" s="15">
        <v>2.0293733282892648E-2</v>
      </c>
      <c r="AD22" s="15">
        <v>7.6726849922561119E-5</v>
      </c>
      <c r="AE22" s="20">
        <v>0.10400401194973431</v>
      </c>
      <c r="AF22" s="20">
        <v>4.6946813872794033E-4</v>
      </c>
      <c r="AG22" s="20">
        <v>5.7340104983685754E-2</v>
      </c>
      <c r="AH22" s="20">
        <v>1.5178536825522699E-3</v>
      </c>
      <c r="AI22" s="20">
        <v>3.3278045364412825E-2</v>
      </c>
      <c r="AJ22" s="20">
        <v>1.8569608818653788E-3</v>
      </c>
      <c r="AK22" s="20">
        <v>9.0763439234617166E-4</v>
      </c>
      <c r="AL22" s="20">
        <v>1.3068575539221241E-5</v>
      </c>
      <c r="AM22" s="20">
        <v>0.72337227929340164</v>
      </c>
      <c r="AN22" s="20">
        <v>1.2623913466635821E-2</v>
      </c>
      <c r="AO22" s="20">
        <v>6.594880911920907E-2</v>
      </c>
      <c r="AP22" s="20">
        <v>3.9806805946838407E-3</v>
      </c>
      <c r="AQ22" s="20">
        <v>1.5592643501776235E-2</v>
      </c>
      <c r="AR22" s="20">
        <v>2.8725470035492577E-4</v>
      </c>
      <c r="AS22" s="20">
        <v>6.3136131694851334E-3</v>
      </c>
      <c r="AT22" s="20">
        <v>1.2058409333055541E-5</v>
      </c>
      <c r="AU22" s="20">
        <v>1.2422660625874143E-2</v>
      </c>
      <c r="AV22" s="20">
        <v>7.8807235260956745E-5</v>
      </c>
      <c r="AW22" s="20">
        <v>6.7647761609429206E-3</v>
      </c>
      <c r="AX22" s="20">
        <v>8.484759742337244E-6</v>
      </c>
      <c r="AY22" s="20">
        <v>2.9613690702747688E-3</v>
      </c>
      <c r="AZ22" s="20">
        <v>7.4613588718582536E-7</v>
      </c>
      <c r="BA22" s="20">
        <v>4.3401887813543111E-4</v>
      </c>
      <c r="BB22" s="20">
        <v>2.5471929737188774E-7</v>
      </c>
      <c r="BC22" s="20">
        <v>0.19831825766870442</v>
      </c>
      <c r="BD22" s="20">
        <v>4.1704087175516939E-4</v>
      </c>
      <c r="BE22" s="20">
        <v>8.7748642993900006E-2</v>
      </c>
      <c r="BF22" s="20">
        <v>2.3983734429704017E-4</v>
      </c>
      <c r="BG22" s="20">
        <v>2.996551553133703E-6</v>
      </c>
      <c r="BH22" s="67">
        <v>4.0929159797267654E-8</v>
      </c>
      <c r="BI22" s="20">
        <v>4.8036417805206698E-2</v>
      </c>
      <c r="BJ22" s="20">
        <v>1.7759899001821888E-6</v>
      </c>
      <c r="BK22" s="20">
        <v>1.269727668006721E-2</v>
      </c>
      <c r="BL22" s="20">
        <v>2.2593811580900268E-4</v>
      </c>
      <c r="BM22" s="20" t="s">
        <v>134</v>
      </c>
      <c r="BN22" s="20" t="s">
        <v>135</v>
      </c>
      <c r="BO22" s="20" t="s">
        <v>134</v>
      </c>
      <c r="BP22" s="20" t="s">
        <v>135</v>
      </c>
      <c r="BQ22" s="20">
        <v>1.9164429852719549E-4</v>
      </c>
      <c r="BR22" s="20">
        <v>6.8798090872786526E-9</v>
      </c>
      <c r="BS22" s="20" t="s">
        <v>134</v>
      </c>
      <c r="BT22" s="20" t="s">
        <v>135</v>
      </c>
      <c r="BU22" s="20">
        <v>2.8114400631867167E-2</v>
      </c>
      <c r="BV22" s="20">
        <v>1.9293390234344015E-5</v>
      </c>
      <c r="BY22" s="15"/>
      <c r="BZ22" s="18"/>
      <c r="CA22" s="18"/>
      <c r="CB22" s="18"/>
    </row>
    <row r="23" spans="1:358" s="14" customFormat="1">
      <c r="A23" s="14" t="s">
        <v>127</v>
      </c>
      <c r="B23" s="14" t="s">
        <v>39</v>
      </c>
      <c r="C23" s="14" t="s">
        <v>40</v>
      </c>
      <c r="D23" s="14">
        <v>81</v>
      </c>
      <c r="E23" s="16">
        <v>0.46919485578437831</v>
      </c>
      <c r="F23" s="18">
        <v>0.87950674995933786</v>
      </c>
      <c r="G23" s="18"/>
      <c r="H23" s="18"/>
      <c r="I23" s="18"/>
      <c r="J23" s="16">
        <v>1.7260756260270558</v>
      </c>
      <c r="K23" s="16">
        <v>2.128803466974484E-2</v>
      </c>
      <c r="L23" s="16">
        <v>0.14230786946929766</v>
      </c>
      <c r="M23" s="16">
        <v>1.6459781835246334E-3</v>
      </c>
      <c r="N23" s="16">
        <v>-25.934579599999999</v>
      </c>
      <c r="O23" s="16">
        <v>6.2010436282941275E-3</v>
      </c>
      <c r="P23" s="21">
        <f>J23/L23</f>
        <v>12.129164974952067</v>
      </c>
      <c r="Q23" s="16">
        <v>2.0829500000000003</v>
      </c>
      <c r="R23" s="16">
        <v>5.1240852842239192E-2</v>
      </c>
      <c r="S23" s="16">
        <v>0.46455000000000002</v>
      </c>
      <c r="T23" s="16">
        <v>1.0253048327204948E-2</v>
      </c>
      <c r="U23" s="15">
        <v>0.55343193151235193</v>
      </c>
      <c r="V23" s="15">
        <v>1.9586343763389378E-3</v>
      </c>
      <c r="W23" s="21">
        <v>-451.03523760653144</v>
      </c>
      <c r="X23" s="21">
        <v>1.9586343763389378</v>
      </c>
      <c r="Y23" s="14">
        <v>4750</v>
      </c>
      <c r="Z23" s="14">
        <v>30</v>
      </c>
      <c r="AA23" s="15">
        <v>6.2396480252352005E-2</v>
      </c>
      <c r="AB23" s="15">
        <v>5.8928236595531217E-4</v>
      </c>
      <c r="AC23" s="15">
        <v>2.577032269655288E-2</v>
      </c>
      <c r="AD23" s="15">
        <v>6.0200048467730946E-4</v>
      </c>
      <c r="AE23" s="20">
        <v>9.1401139552323873E-2</v>
      </c>
      <c r="AF23" s="20">
        <v>2.798517088343353E-3</v>
      </c>
      <c r="AG23" s="20">
        <v>5.5409824356256188E-2</v>
      </c>
      <c r="AH23" s="20">
        <v>4.0294302038374656E-4</v>
      </c>
      <c r="AI23" s="20">
        <v>3.4326959434959822E-2</v>
      </c>
      <c r="AJ23" s="20">
        <v>1.8333463517402138E-3</v>
      </c>
      <c r="AK23" s="20">
        <v>6.8053619555049748E-4</v>
      </c>
      <c r="AL23" s="20">
        <v>8.244697616810308E-6</v>
      </c>
      <c r="AM23" s="20">
        <v>0.36186265676019935</v>
      </c>
      <c r="AN23" s="20">
        <v>3.1384542111839199E-3</v>
      </c>
      <c r="AO23" s="20">
        <v>5.6435710301780073E-2</v>
      </c>
      <c r="AP23" s="20">
        <v>1.4258429386061649E-3</v>
      </c>
      <c r="AQ23" s="20">
        <v>1.5020715263690278E-2</v>
      </c>
      <c r="AR23" s="20">
        <v>1.1236099490022986E-4</v>
      </c>
      <c r="AS23" s="20">
        <v>1.5773245239013634E-2</v>
      </c>
      <c r="AT23" s="20">
        <v>2.0246983655820875E-5</v>
      </c>
      <c r="AU23" s="20">
        <v>3.4970001234030469E-2</v>
      </c>
      <c r="AV23" s="20">
        <v>8.9300433206208389E-5</v>
      </c>
      <c r="AW23" s="20">
        <v>2.6622948192401987E-2</v>
      </c>
      <c r="AX23" s="20">
        <v>4.5123326149378799E-4</v>
      </c>
      <c r="AY23" s="20">
        <v>2.1641296959889752E-2</v>
      </c>
      <c r="AZ23" s="20">
        <v>1.1935437440840978E-5</v>
      </c>
      <c r="BA23" s="20">
        <v>5.8775413635456903E-4</v>
      </c>
      <c r="BB23" s="20">
        <v>1.579947822719778E-6</v>
      </c>
      <c r="BC23" s="20">
        <v>0.27201252050296726</v>
      </c>
      <c r="BD23" s="20">
        <v>2.5981303115884738E-4</v>
      </c>
      <c r="BE23" s="20">
        <v>0.10193702566915762</v>
      </c>
      <c r="BF23" s="20">
        <v>6.7577384408580373E-5</v>
      </c>
      <c r="BG23" s="20">
        <v>4.1350227278487484E-6</v>
      </c>
      <c r="BH23" s="67">
        <v>6.1182141077663907E-9</v>
      </c>
      <c r="BI23" s="20">
        <v>5.2397627059740291E-2</v>
      </c>
      <c r="BJ23" s="20">
        <v>1.0620411544850125E-4</v>
      </c>
      <c r="BK23" s="20">
        <v>6.0605235772530033E-2</v>
      </c>
      <c r="BL23" s="20">
        <v>1.8706018821849869E-4</v>
      </c>
      <c r="BM23" s="20">
        <v>1.7006159394259257E-2</v>
      </c>
      <c r="BN23" s="20">
        <v>1.9758125841338838E-5</v>
      </c>
      <c r="BO23" s="20" t="s">
        <v>134</v>
      </c>
      <c r="BP23" s="20" t="s">
        <v>135</v>
      </c>
      <c r="BQ23" s="20">
        <v>2.4771114281295787E-4</v>
      </c>
      <c r="BR23" s="20">
        <v>6.9975185850897071E-8</v>
      </c>
      <c r="BS23" s="20" t="s">
        <v>134</v>
      </c>
      <c r="BT23" s="20" t="s">
        <v>135</v>
      </c>
      <c r="BU23" s="20">
        <v>4.6343449665913347E-2</v>
      </c>
      <c r="BV23" s="20">
        <v>1.3382987580544811E-3</v>
      </c>
      <c r="BW23" s="18">
        <v>0.54870189922766066</v>
      </c>
      <c r="BX23" s="18">
        <v>2.9498177271678394E-3</v>
      </c>
      <c r="BY23" s="15">
        <v>4.4867167495314863E-3</v>
      </c>
      <c r="BZ23" s="18">
        <v>0.11343174570069446</v>
      </c>
      <c r="CA23" s="18">
        <v>5.6290222950716083E-2</v>
      </c>
      <c r="CB23" s="18">
        <v>1.7100397376967849E-2</v>
      </c>
      <c r="CC23" s="15">
        <v>3.6736485613842261E-2</v>
      </c>
      <c r="CD23" s="16">
        <v>1.9430749000263527</v>
      </c>
      <c r="CE23" s="16">
        <v>7.4223245113239766</v>
      </c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20">
        <v>1.2599004031210433E-9</v>
      </c>
      <c r="CY23" s="20">
        <v>4.2059338844357866E-10</v>
      </c>
      <c r="CZ23" s="20">
        <v>6.5262769974991782E-8</v>
      </c>
      <c r="DA23" s="20">
        <v>6.3639119899979865E-8</v>
      </c>
      <c r="DB23" s="20">
        <v>7.3794628317112641E-7</v>
      </c>
      <c r="DC23" s="20">
        <v>1.158139004208886E-8</v>
      </c>
      <c r="DD23" s="20">
        <v>1.9602137162133703E-8</v>
      </c>
      <c r="DE23" s="20">
        <v>2.8505030741957556E-9</v>
      </c>
      <c r="DF23" s="20">
        <v>3.3986876016913542E-7</v>
      </c>
      <c r="DG23" s="20">
        <v>1.9203179004165497E-8</v>
      </c>
      <c r="DH23" s="20">
        <v>2.1142407434131815E-7</v>
      </c>
      <c r="DI23" s="20">
        <v>6.691770307587186E-9</v>
      </c>
      <c r="DJ23" s="20">
        <v>1.3922816747771291E-10</v>
      </c>
      <c r="DK23" s="20">
        <v>3.3589795098184792E-12</v>
      </c>
      <c r="DL23" s="20" t="s">
        <v>134</v>
      </c>
      <c r="DM23" s="20" t="s">
        <v>134</v>
      </c>
      <c r="DN23" s="20">
        <v>3.2083119638550704E-9</v>
      </c>
      <c r="DO23" s="20">
        <v>6.5091234700770955E-11</v>
      </c>
      <c r="DP23" s="20">
        <v>6.7684474687626542E-6</v>
      </c>
      <c r="DQ23" s="20">
        <v>6.0973127673956015E-8</v>
      </c>
      <c r="DR23" s="20">
        <v>1.9666167830957482E-8</v>
      </c>
      <c r="DS23" s="20">
        <v>2.8927410384892318E-10</v>
      </c>
      <c r="DT23" s="20" t="s">
        <v>134</v>
      </c>
      <c r="DU23" s="20" t="s">
        <v>134</v>
      </c>
      <c r="DV23" s="20" t="s">
        <v>134</v>
      </c>
      <c r="DW23" s="20" t="s">
        <v>134</v>
      </c>
      <c r="DX23" s="20" t="s">
        <v>134</v>
      </c>
      <c r="DY23" s="20" t="s">
        <v>134</v>
      </c>
      <c r="DZ23" s="20" t="s">
        <v>134</v>
      </c>
      <c r="EA23" s="20" t="s">
        <v>134</v>
      </c>
      <c r="EB23" s="20">
        <v>8.3804907523152672E-12</v>
      </c>
      <c r="EC23" s="20">
        <v>1.1096493158589916E-11</v>
      </c>
      <c r="ED23" s="20">
        <v>-2.6013188946632261E-10</v>
      </c>
      <c r="EE23" s="20">
        <v>6.1477020738533091E-11</v>
      </c>
      <c r="EF23" s="20">
        <v>7.3657952915634164E-11</v>
      </c>
      <c r="EG23" s="20">
        <v>3.0185776498783222E-12</v>
      </c>
      <c r="EH23" s="20">
        <v>1.1614394365797389E-8</v>
      </c>
      <c r="EI23" s="20">
        <v>1.6632814039245946E-10</v>
      </c>
      <c r="EJ23" s="20" t="s">
        <v>134</v>
      </c>
      <c r="EK23" s="20" t="s">
        <v>134</v>
      </c>
      <c r="EL23" s="20">
        <v>2.7650568130602023E-9</v>
      </c>
      <c r="EM23" s="20">
        <v>3.0750723967726458E-11</v>
      </c>
      <c r="EN23" s="20" t="s">
        <v>134</v>
      </c>
      <c r="EO23" s="20" t="s">
        <v>134</v>
      </c>
      <c r="EP23" s="20" t="s">
        <v>134</v>
      </c>
      <c r="EQ23" s="20" t="s">
        <v>134</v>
      </c>
      <c r="ER23" s="20" t="s">
        <v>134</v>
      </c>
      <c r="ES23" s="20" t="s">
        <v>134</v>
      </c>
      <c r="ET23" s="20" t="s">
        <v>134</v>
      </c>
      <c r="EU23" s="20" t="s">
        <v>134</v>
      </c>
      <c r="EV23" s="20" t="s">
        <v>134</v>
      </c>
      <c r="EW23" s="20" t="s">
        <v>134</v>
      </c>
      <c r="EX23" s="20">
        <v>4.9230725602339567E-9</v>
      </c>
      <c r="EY23" s="20">
        <v>7.1850000593270456E-11</v>
      </c>
      <c r="EZ23" s="20" t="s">
        <v>134</v>
      </c>
      <c r="FA23" s="20" t="s">
        <v>134</v>
      </c>
      <c r="FB23" s="20" t="s">
        <v>134</v>
      </c>
      <c r="FC23" s="20" t="s">
        <v>134</v>
      </c>
      <c r="FD23" s="20" t="s">
        <v>134</v>
      </c>
      <c r="FE23" s="20" t="s">
        <v>134</v>
      </c>
      <c r="FF23" s="20" t="s">
        <v>134</v>
      </c>
      <c r="FG23" s="20" t="s">
        <v>134</v>
      </c>
      <c r="FH23" s="20">
        <v>1.2385013916891027E-8</v>
      </c>
      <c r="FI23" s="20">
        <v>1.4136850452897362E-9</v>
      </c>
      <c r="FJ23" s="20">
        <v>5.5263833797715206E-10</v>
      </c>
      <c r="FK23" s="20">
        <v>1.204058834817158E-11</v>
      </c>
      <c r="FL23" s="20">
        <v>2.0175799770986418E-3</v>
      </c>
      <c r="FM23" s="20">
        <v>5.9005013953370247E-5</v>
      </c>
      <c r="FN23" s="20">
        <v>0.77516356083565641</v>
      </c>
      <c r="FO23" s="20">
        <v>1.0871750311361308E-2</v>
      </c>
      <c r="FP23" s="20">
        <v>0.1649347747494373</v>
      </c>
      <c r="FQ23" s="20">
        <v>2.5806118332761959E-3</v>
      </c>
      <c r="FR23" s="20">
        <v>2.2179626621244661E-2</v>
      </c>
      <c r="FS23" s="20">
        <v>5.1380589083510164E-4</v>
      </c>
      <c r="FT23" s="20">
        <v>0.27168880192843381</v>
      </c>
      <c r="FU23" s="20">
        <v>3.150143133929275E-3</v>
      </c>
      <c r="FV23" s="20">
        <v>6.5613840931372638E-2</v>
      </c>
      <c r="FW23" s="20">
        <v>1.4585701725944936E-3</v>
      </c>
      <c r="FX23" s="20">
        <v>3.1031191682035968E-5</v>
      </c>
      <c r="FY23" s="20">
        <v>7.4864978052586724E-7</v>
      </c>
      <c r="FZ23" s="20" t="s">
        <v>134</v>
      </c>
      <c r="GA23" s="20" t="s">
        <v>134</v>
      </c>
      <c r="GB23" s="20">
        <v>7.150689787114576E-4</v>
      </c>
      <c r="GC23" s="20">
        <v>1.4507542671947798E-5</v>
      </c>
      <c r="GD23" s="20">
        <v>1.5139522011294877</v>
      </c>
      <c r="GE23" s="20">
        <v>1.3588963135105967E-2</v>
      </c>
      <c r="GF23" s="20">
        <v>4.3831979883755916E-3</v>
      </c>
      <c r="GG23" s="20">
        <v>6.4473449071446266E-5</v>
      </c>
      <c r="GH23" s="20" t="s">
        <v>134</v>
      </c>
      <c r="GI23" s="20" t="s">
        <v>134</v>
      </c>
      <c r="GJ23" s="20" t="s">
        <v>134</v>
      </c>
      <c r="GK23" s="20" t="s">
        <v>134</v>
      </c>
      <c r="GL23" s="20" t="s">
        <v>134</v>
      </c>
      <c r="GM23" s="20" t="s">
        <v>134</v>
      </c>
      <c r="GN23" s="20" t="s">
        <v>134</v>
      </c>
      <c r="GO23" s="20" t="s">
        <v>134</v>
      </c>
      <c r="GP23" s="20">
        <v>1.1898161420148014E-4</v>
      </c>
      <c r="GQ23" s="20">
        <v>2.113805337432701E-6</v>
      </c>
      <c r="GR23" s="20">
        <v>2.184067585379115E-4</v>
      </c>
      <c r="GS23" s="20">
        <v>9.8955414802381205E-6</v>
      </c>
      <c r="GT23" s="20">
        <v>1.6416893917657205E-5</v>
      </c>
      <c r="GU23" s="20">
        <v>6.7278097067160061E-7</v>
      </c>
      <c r="GV23" s="20">
        <v>2.5886176939986668E-3</v>
      </c>
      <c r="GW23" s="20">
        <v>3.7071237093321712E-5</v>
      </c>
      <c r="GX23" s="20" t="s">
        <v>134</v>
      </c>
      <c r="GY23" s="20" t="s">
        <v>134</v>
      </c>
      <c r="GZ23" s="20">
        <v>6.1627621430502297E-4</v>
      </c>
      <c r="HA23" s="20">
        <v>6.8537252704747896E-6</v>
      </c>
      <c r="HB23" s="20" t="s">
        <v>134</v>
      </c>
      <c r="HC23" s="20" t="s">
        <v>134</v>
      </c>
      <c r="HD23" s="20" t="s">
        <v>134</v>
      </c>
      <c r="HE23" s="20" t="s">
        <v>134</v>
      </c>
      <c r="HF23" s="20" t="s">
        <v>134</v>
      </c>
      <c r="HG23" s="20" t="s">
        <v>134</v>
      </c>
      <c r="HH23" s="20" t="s">
        <v>134</v>
      </c>
      <c r="HI23" s="20" t="s">
        <v>134</v>
      </c>
      <c r="HJ23" s="20" t="s">
        <v>134</v>
      </c>
      <c r="HK23" s="20" t="s">
        <v>134</v>
      </c>
      <c r="HL23" s="20">
        <v>1.182419716138763E-3</v>
      </c>
      <c r="HM23" s="20">
        <v>1.594619513725292E-5</v>
      </c>
      <c r="HN23" s="20" t="s">
        <v>134</v>
      </c>
      <c r="HO23" s="20" t="s">
        <v>134</v>
      </c>
      <c r="HP23" s="20" t="s">
        <v>134</v>
      </c>
      <c r="HQ23" s="20" t="s">
        <v>134</v>
      </c>
      <c r="HR23" s="20" t="s">
        <v>134</v>
      </c>
      <c r="HS23" s="20" t="s">
        <v>134</v>
      </c>
      <c r="HT23" s="20" t="s">
        <v>134</v>
      </c>
      <c r="HU23" s="20" t="s">
        <v>134</v>
      </c>
      <c r="HV23" s="20">
        <v>7.5124445070480321E-3</v>
      </c>
      <c r="HW23" s="20">
        <v>2.2726733725936461E-4</v>
      </c>
      <c r="HX23" s="20">
        <v>1.2317210308291913E-4</v>
      </c>
      <c r="HY23" s="20">
        <v>2.6836078630167343E-6</v>
      </c>
      <c r="HZ23" s="20" t="s">
        <v>134</v>
      </c>
      <c r="IA23" s="20" t="s">
        <v>134</v>
      </c>
      <c r="IB23" s="20">
        <v>4.6199186690058527</v>
      </c>
      <c r="IC23" s="20">
        <v>6.6054096171059257E-2</v>
      </c>
      <c r="ID23" s="20">
        <v>86.903221200840164</v>
      </c>
      <c r="IE23" s="20">
        <v>1.5653962887468187</v>
      </c>
      <c r="IF23" s="20">
        <v>0.27693885546737956</v>
      </c>
      <c r="IG23" s="20">
        <v>1.4727691375988191E-2</v>
      </c>
      <c r="IH23" s="20">
        <v>0.41340257032566857</v>
      </c>
      <c r="II23" s="20">
        <v>2.6063289830753657E-2</v>
      </c>
      <c r="IJ23" s="20">
        <v>1.2618720780624246</v>
      </c>
      <c r="IK23" s="20">
        <v>5.9486776045509747E-2</v>
      </c>
      <c r="IL23" s="20">
        <v>0.21062596480282456</v>
      </c>
      <c r="IM23" s="20">
        <v>1.8223507678766338E-2</v>
      </c>
      <c r="IN23" s="20">
        <v>4.553587423652407E-3</v>
      </c>
      <c r="IO23" s="20">
        <v>1.331336412009324E-3</v>
      </c>
      <c r="IP23" s="20">
        <v>7.1115853718073829E-2</v>
      </c>
      <c r="IQ23" s="20">
        <v>1.9501137871584496E-3</v>
      </c>
      <c r="IR23" s="20">
        <v>1.0393851875431447E-2</v>
      </c>
      <c r="IS23" s="20">
        <v>1.6159247613749166E-3</v>
      </c>
      <c r="IT23" s="20">
        <v>1.5633768901361789</v>
      </c>
      <c r="IU23" s="20">
        <v>3.94316588336589E-2</v>
      </c>
      <c r="IV23" s="20">
        <v>0.69807659943418965</v>
      </c>
      <c r="IW23" s="20">
        <v>7.1532553820429848E-3</v>
      </c>
      <c r="IX23" s="20" t="s">
        <v>134</v>
      </c>
      <c r="IY23" s="20" t="s">
        <v>134</v>
      </c>
      <c r="IZ23" s="20">
        <v>0.24841124122217417</v>
      </c>
      <c r="JA23" s="20">
        <v>5.9163975254926575E-3</v>
      </c>
      <c r="JB23" s="20">
        <v>1.3791122432810396E-2</v>
      </c>
      <c r="JC23" s="20">
        <v>3.2366927560250188E-3</v>
      </c>
      <c r="JD23" s="20">
        <v>1.0732296655862499E-3</v>
      </c>
      <c r="JE23" s="20">
        <v>1.568192247321167E-3</v>
      </c>
      <c r="JF23" s="20">
        <v>1.4432864405767873E-2</v>
      </c>
      <c r="JG23" s="20">
        <v>1.9949658683671135E-3</v>
      </c>
      <c r="JH23" s="20">
        <v>9.6863185273073776E-3</v>
      </c>
      <c r="JI23" s="20">
        <v>4.4740700265166805E-3</v>
      </c>
      <c r="JJ23" s="20">
        <v>1.2554168392038832E-4</v>
      </c>
      <c r="JK23" s="20">
        <v>8.1649311076538434E-4</v>
      </c>
      <c r="JL23" s="20">
        <v>2.4821764607923048E-2</v>
      </c>
      <c r="JM23" s="20">
        <v>7.1868375544031644E-4</v>
      </c>
      <c r="JN23" s="20">
        <v>8.0418697343585775E-3</v>
      </c>
      <c r="JO23" s="20">
        <v>1.0071495282078973E-3</v>
      </c>
      <c r="JP23" s="20">
        <v>4.992264514915614E-2</v>
      </c>
      <c r="JQ23" s="20">
        <v>1.2368643536172837E-3</v>
      </c>
      <c r="JR23" s="20" t="s">
        <v>134</v>
      </c>
      <c r="JS23" s="20" t="s">
        <v>134</v>
      </c>
      <c r="JT23" s="20" t="s">
        <v>134</v>
      </c>
      <c r="JU23" s="20" t="s">
        <v>134</v>
      </c>
      <c r="JV23" s="20">
        <v>6.1942197089032603E-4</v>
      </c>
      <c r="JW23" s="20">
        <v>4.2121263040477982E-5</v>
      </c>
      <c r="JX23" s="20">
        <v>6.3319543027616021E-3</v>
      </c>
      <c r="JY23" s="20">
        <v>8.0940899430939183E-4</v>
      </c>
      <c r="JZ23" s="20" t="s">
        <v>134</v>
      </c>
      <c r="KA23" s="20" t="s">
        <v>134</v>
      </c>
      <c r="KB23" s="20">
        <v>0.24757186233550785</v>
      </c>
      <c r="KC23" s="20">
        <v>1.3604218753819619E-3</v>
      </c>
      <c r="KD23" s="20">
        <v>1.1616898206629885E-4</v>
      </c>
      <c r="KE23" s="20">
        <v>1.0365111176917685E-5</v>
      </c>
      <c r="KF23" s="20">
        <v>2.4062597390356907E-3</v>
      </c>
      <c r="KG23" s="20">
        <v>4.6975648944059646E-5</v>
      </c>
      <c r="KH23" s="20" t="s">
        <v>134</v>
      </c>
      <c r="KI23" s="20" t="s">
        <v>134</v>
      </c>
      <c r="KJ23" s="20">
        <v>1.187191273909056E-4</v>
      </c>
      <c r="KK23" s="20">
        <v>2.7540302330364153E-4</v>
      </c>
      <c r="KL23" s="20">
        <v>32.488510933695501</v>
      </c>
      <c r="KM23" s="20">
        <v>0.36888167442360192</v>
      </c>
      <c r="KN23" s="20">
        <v>7.9898925821038982E-3</v>
      </c>
      <c r="KO23" s="20">
        <v>6.6282049422486595E-4</v>
      </c>
    </row>
    <row r="24" spans="1:358" s="14" customFormat="1">
      <c r="A24" s="14" t="s">
        <v>128</v>
      </c>
      <c r="B24" s="14" t="s">
        <v>41</v>
      </c>
      <c r="C24" s="14" t="s">
        <v>6</v>
      </c>
      <c r="D24" s="14">
        <v>7.5</v>
      </c>
      <c r="E24" s="16">
        <v>0.92835409337263486</v>
      </c>
      <c r="F24" s="18">
        <v>0.40700306957234333</v>
      </c>
      <c r="G24" s="18"/>
      <c r="H24" s="18"/>
      <c r="I24" s="18"/>
      <c r="Q24" s="16">
        <v>2.4375</v>
      </c>
      <c r="R24" s="16">
        <v>3.1120732639190903E-2</v>
      </c>
      <c r="S24" s="16">
        <v>1.218</v>
      </c>
      <c r="T24" s="16">
        <v>3.111269837220812E-2</v>
      </c>
      <c r="AA24" s="15">
        <v>0.12530119687797131</v>
      </c>
      <c r="AB24" s="15">
        <v>4.7572510576472746E-3</v>
      </c>
      <c r="AC24" s="15">
        <v>5.5656204003676352E-2</v>
      </c>
      <c r="AD24" s="15">
        <v>9.2386273370077051E-4</v>
      </c>
      <c r="AE24" s="20">
        <v>0.1346680881622852</v>
      </c>
      <c r="AF24" s="20">
        <v>5.2332091650282297E-3</v>
      </c>
      <c r="AG24" s="20">
        <v>4.0477613116379249E-2</v>
      </c>
      <c r="AH24" s="20">
        <v>7.3998626891082458E-4</v>
      </c>
      <c r="AI24" s="20">
        <v>2.9910877181153345E-2</v>
      </c>
      <c r="AJ24" s="20">
        <v>7.9999850876234506E-5</v>
      </c>
      <c r="AK24" s="20">
        <v>4.7025593100932309E-3</v>
      </c>
      <c r="AL24" s="20">
        <v>2.7787548607650442E-4</v>
      </c>
      <c r="AM24" s="20">
        <v>0.84742611372851551</v>
      </c>
      <c r="AN24" s="20">
        <v>3.9914380690946778E-2</v>
      </c>
      <c r="AO24" s="20">
        <v>0.11140897106737027</v>
      </c>
      <c r="AP24" s="20">
        <v>9.3493940067711342E-4</v>
      </c>
      <c r="AQ24" s="20">
        <v>1.225685056031536E-2</v>
      </c>
      <c r="AR24" s="20">
        <v>1.5848189898916103E-4</v>
      </c>
      <c r="AS24" s="20">
        <v>1.6979893457690538E-2</v>
      </c>
      <c r="AT24" s="20">
        <v>9.947501744863148E-5</v>
      </c>
      <c r="AU24" s="20">
        <v>3.126926748550158E-2</v>
      </c>
      <c r="AV24" s="20">
        <v>9.6639518571800228E-5</v>
      </c>
      <c r="AW24" s="20">
        <v>3.3745913113869035E-2</v>
      </c>
      <c r="AX24" s="20">
        <v>9.5397123117129157E-5</v>
      </c>
      <c r="AY24" s="20">
        <v>2.0051031917930253E-2</v>
      </c>
      <c r="AZ24" s="20">
        <v>5.2865321524919749E-5</v>
      </c>
      <c r="BA24" s="20">
        <v>4.1476418007357092E-3</v>
      </c>
      <c r="BB24" s="20">
        <v>8.9958551833592143E-7</v>
      </c>
      <c r="BC24" s="20">
        <v>0.45700385385076503</v>
      </c>
      <c r="BD24" s="20">
        <v>9.3163708229474776E-4</v>
      </c>
      <c r="BE24" s="20">
        <v>0.19844311550030813</v>
      </c>
      <c r="BF24" s="20">
        <v>2.6883539682053551E-4</v>
      </c>
      <c r="BG24" s="20">
        <v>1.6417796391794139E-6</v>
      </c>
      <c r="BH24" s="67">
        <v>4.665389925005479E-9</v>
      </c>
      <c r="BI24" s="20">
        <v>0.10156975805380908</v>
      </c>
      <c r="BJ24" s="20">
        <v>3.5548676953931044E-4</v>
      </c>
      <c r="BK24" s="20">
        <v>5.523152253825285E-2</v>
      </c>
      <c r="BL24" s="20">
        <v>5.2926794177156615E-5</v>
      </c>
      <c r="BM24" s="20">
        <v>2.3156186930368319E-2</v>
      </c>
      <c r="BN24" s="20">
        <v>1.8865091069856876E-5</v>
      </c>
      <c r="BO24" s="20" t="s">
        <v>134</v>
      </c>
      <c r="BP24" s="20" t="s">
        <v>135</v>
      </c>
      <c r="BQ24" s="20">
        <v>1.6520009339122056E-3</v>
      </c>
      <c r="BR24" s="20">
        <v>4.2964905820465548E-6</v>
      </c>
      <c r="BS24" s="20" t="s">
        <v>134</v>
      </c>
      <c r="BT24" s="20" t="s">
        <v>135</v>
      </c>
      <c r="BU24" s="20">
        <v>0.12363357314896876</v>
      </c>
      <c r="BV24" s="20">
        <v>5.8559789629302654E-4</v>
      </c>
      <c r="BW24" s="60"/>
      <c r="BX24" s="60"/>
      <c r="BY24" s="15"/>
      <c r="BZ24" s="18"/>
      <c r="CA24" s="18"/>
      <c r="CB24" s="18"/>
    </row>
    <row r="25" spans="1:358" s="14" customFormat="1">
      <c r="A25" s="14" t="s">
        <v>128</v>
      </c>
      <c r="B25" s="14" t="s">
        <v>42</v>
      </c>
      <c r="C25" s="14" t="s">
        <v>8</v>
      </c>
      <c r="D25" s="14">
        <v>22.5</v>
      </c>
      <c r="E25" s="16">
        <v>0.97241985068072023</v>
      </c>
      <c r="F25" s="18">
        <v>0.43293794341157033</v>
      </c>
      <c r="G25" s="18"/>
      <c r="H25" s="18"/>
      <c r="I25" s="18"/>
      <c r="J25" s="16">
        <v>2.6536800695054277</v>
      </c>
      <c r="K25" s="16">
        <v>3.0991264652207653E-2</v>
      </c>
      <c r="L25" s="16">
        <v>0.22318922698684496</v>
      </c>
      <c r="M25" s="16">
        <v>3.4992200771316543E-3</v>
      </c>
      <c r="N25" s="16">
        <v>-26.311672399999999</v>
      </c>
      <c r="O25" s="16">
        <v>7.647953808228504E-2</v>
      </c>
      <c r="P25" s="21">
        <f>J25/L25</f>
        <v>11.889821499591639</v>
      </c>
      <c r="Q25" s="16">
        <v>2.7939999999999996</v>
      </c>
      <c r="R25" s="16">
        <v>6.5863495200300354E-2</v>
      </c>
      <c r="S25" s="16">
        <v>1.143</v>
      </c>
      <c r="T25" s="16">
        <v>6.3639610306789177E-2</v>
      </c>
      <c r="U25" s="15">
        <v>0.57470000781281394</v>
      </c>
      <c r="V25" s="15">
        <v>1.9880024330409724E-3</v>
      </c>
      <c r="W25" s="21">
        <v>-429.93883209023943</v>
      </c>
      <c r="X25" s="21">
        <v>1.9880024330409725</v>
      </c>
      <c r="Y25" s="14">
        <v>4450</v>
      </c>
      <c r="Z25" s="14">
        <v>30</v>
      </c>
      <c r="AA25" s="15">
        <v>0.19959321057413593</v>
      </c>
      <c r="AB25" s="15">
        <v>4.6729993303990681E-3</v>
      </c>
      <c r="AC25" s="15">
        <v>5.2743714272288605E-2</v>
      </c>
      <c r="AD25" s="15">
        <v>7.7352826994115618E-5</v>
      </c>
      <c r="AE25" s="20">
        <v>0.12387618390746538</v>
      </c>
      <c r="AF25" s="20">
        <v>2.4146218604821686E-3</v>
      </c>
      <c r="AG25" s="20">
        <v>4.3592429164640768E-2</v>
      </c>
      <c r="AH25" s="20">
        <v>1.1166584358720765E-3</v>
      </c>
      <c r="AI25" s="20">
        <v>2.7045375707777347E-2</v>
      </c>
      <c r="AJ25" s="20">
        <v>1.0694678065410533E-3</v>
      </c>
      <c r="AK25" s="20">
        <v>5.457955312662471E-3</v>
      </c>
      <c r="AL25" s="20">
        <v>9.0966465460416842E-5</v>
      </c>
      <c r="AM25" s="20">
        <v>0.80716641231355268</v>
      </c>
      <c r="AN25" s="20">
        <v>1.7415479928677901E-3</v>
      </c>
      <c r="AO25" s="20">
        <v>0.16922926787887424</v>
      </c>
      <c r="AP25" s="20">
        <v>4.6109755399203686E-3</v>
      </c>
      <c r="AQ25" s="20">
        <v>1.3397916790531237E-2</v>
      </c>
      <c r="AR25" s="20">
        <v>2.376247257469506E-4</v>
      </c>
      <c r="AS25" s="20">
        <v>1.5023594410926291E-2</v>
      </c>
      <c r="AT25" s="20">
        <v>5.7416501984039758E-5</v>
      </c>
      <c r="AU25" s="20">
        <v>3.2919981062087655E-2</v>
      </c>
      <c r="AV25" s="20">
        <v>5.5883829058755668E-5</v>
      </c>
      <c r="AW25" s="20">
        <v>3.6014626898751359E-2</v>
      </c>
      <c r="AX25" s="20">
        <v>4.251508155575234E-5</v>
      </c>
      <c r="AY25" s="20">
        <v>1.9517722729945997E-2</v>
      </c>
      <c r="AZ25" s="20">
        <v>1.3740713491270742E-4</v>
      </c>
      <c r="BA25" s="20">
        <v>4.3957131137382695E-3</v>
      </c>
      <c r="BB25" s="20">
        <v>7.4021992183994433E-6</v>
      </c>
      <c r="BC25" s="20">
        <v>0.47221179864170826</v>
      </c>
      <c r="BD25" s="20">
        <v>1.9488587957601103E-3</v>
      </c>
      <c r="BE25" s="20">
        <v>0.20696055544833333</v>
      </c>
      <c r="BF25" s="20">
        <v>3.8930514728695639E-4</v>
      </c>
      <c r="BG25" s="20">
        <v>1.586624254858785E-6</v>
      </c>
      <c r="BH25" s="67">
        <v>6.494313351093024E-9</v>
      </c>
      <c r="BI25" s="20">
        <v>0.10060159134251583</v>
      </c>
      <c r="BJ25" s="20">
        <v>4.3789701978937367E-4</v>
      </c>
      <c r="BK25" s="20">
        <v>6.1958577023766261E-2</v>
      </c>
      <c r="BL25" s="20">
        <v>1.6822665167802168E-5</v>
      </c>
      <c r="BM25" s="20">
        <v>2.4643145262707632E-2</v>
      </c>
      <c r="BN25" s="20">
        <v>1.7472385829616481E-5</v>
      </c>
      <c r="BO25" s="20" t="s">
        <v>134</v>
      </c>
      <c r="BP25" s="20" t="s">
        <v>135</v>
      </c>
      <c r="BQ25" s="20">
        <v>2.3155830639175591E-3</v>
      </c>
      <c r="BR25" s="20">
        <v>1.0227482166131729E-5</v>
      </c>
      <c r="BS25" s="20" t="s">
        <v>134</v>
      </c>
      <c r="BT25" s="20" t="s">
        <v>135</v>
      </c>
      <c r="BU25" s="20">
        <v>0.19574079527673513</v>
      </c>
      <c r="BV25" s="20">
        <v>3.5041896408016301E-3</v>
      </c>
      <c r="BW25" s="18">
        <v>1.8521501836180285</v>
      </c>
      <c r="BX25" s="18">
        <v>2.1724846360634091E-2</v>
      </c>
      <c r="BY25" s="15">
        <v>3.4194070156879888E-3</v>
      </c>
      <c r="BZ25" s="18">
        <v>0.22752564661713423</v>
      </c>
      <c r="CA25" s="18">
        <v>8.1473153676938997E-2</v>
      </c>
      <c r="CB25" s="18">
        <v>2.4813890607263203E-2</v>
      </c>
      <c r="CC25" s="15">
        <v>9.6786038078187669E-2</v>
      </c>
      <c r="CD25" s="16">
        <v>2.7404474200689628</v>
      </c>
      <c r="CE25" s="16">
        <v>6.4347073771899446</v>
      </c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20">
        <v>1.8805361052339533E-9</v>
      </c>
      <c r="CY25" s="20">
        <v>3.1392095287516724E-10</v>
      </c>
      <c r="CZ25" s="20">
        <v>1.3768923181955125E-7</v>
      </c>
      <c r="DA25" s="20">
        <v>4.2683871317676314E-8</v>
      </c>
      <c r="DB25" s="20">
        <v>1.0017006239013751E-6</v>
      </c>
      <c r="DC25" s="20">
        <v>4.944937009802711E-9</v>
      </c>
      <c r="DD25" s="20">
        <v>7.4436706464159302E-9</v>
      </c>
      <c r="DE25" s="20">
        <v>1.8530319166901634E-9</v>
      </c>
      <c r="DF25" s="20">
        <v>9.2991880517624671E-7</v>
      </c>
      <c r="DG25" s="20">
        <v>2.0087260733995332E-8</v>
      </c>
      <c r="DH25" s="20">
        <v>3.8615648147861354E-7</v>
      </c>
      <c r="DI25" s="20">
        <v>8.224661926656642E-9</v>
      </c>
      <c r="DJ25" s="20" t="s">
        <v>134</v>
      </c>
      <c r="DK25" s="20" t="s">
        <v>134</v>
      </c>
      <c r="DL25" s="20">
        <v>2.4605040392035837E-10</v>
      </c>
      <c r="DM25" s="20">
        <v>1.2856496040827095E-11</v>
      </c>
      <c r="DN25" s="20">
        <v>2.037295017777331E-8</v>
      </c>
      <c r="DO25" s="20">
        <v>4.1389378329247708E-10</v>
      </c>
      <c r="DP25" s="20">
        <v>5.930196442706046E-6</v>
      </c>
      <c r="DQ25" s="20">
        <v>5.8463323052668892E-8</v>
      </c>
      <c r="DR25" s="20">
        <v>2.5877881876911094E-7</v>
      </c>
      <c r="DS25" s="20">
        <v>2.0670072612488128E-9</v>
      </c>
      <c r="DT25" s="20" t="s">
        <v>134</v>
      </c>
      <c r="DU25" s="20" t="s">
        <v>134</v>
      </c>
      <c r="DV25" s="20" t="s">
        <v>134</v>
      </c>
      <c r="DW25" s="20" t="s">
        <v>134</v>
      </c>
      <c r="DX25" s="20" t="s">
        <v>134</v>
      </c>
      <c r="DY25" s="20" t="s">
        <v>134</v>
      </c>
      <c r="DZ25" s="20" t="s">
        <v>134</v>
      </c>
      <c r="EA25" s="20" t="s">
        <v>134</v>
      </c>
      <c r="EB25" s="20">
        <v>3.4545202620470425E-12</v>
      </c>
      <c r="EC25" s="20">
        <v>8.0876578739403274E-12</v>
      </c>
      <c r="ED25" s="20">
        <v>-4.024003634495111E-10</v>
      </c>
      <c r="EE25" s="20">
        <v>4.6451352484470563E-11</v>
      </c>
      <c r="EF25" s="20">
        <v>1.0030537057794196E-10</v>
      </c>
      <c r="EG25" s="20">
        <v>2.5444299440193285E-12</v>
      </c>
      <c r="EH25" s="20">
        <v>1.4645798428001455E-8</v>
      </c>
      <c r="EI25" s="20">
        <v>2.1491579538705001E-10</v>
      </c>
      <c r="EJ25" s="20" t="s">
        <v>134</v>
      </c>
      <c r="EK25" s="20" t="s">
        <v>134</v>
      </c>
      <c r="EL25" s="20">
        <v>1.4319249006209985E-9</v>
      </c>
      <c r="EM25" s="20">
        <v>1.3599382599380649E-11</v>
      </c>
      <c r="EN25" s="20" t="s">
        <v>134</v>
      </c>
      <c r="EO25" s="20" t="s">
        <v>134</v>
      </c>
      <c r="EP25" s="20" t="s">
        <v>134</v>
      </c>
      <c r="EQ25" s="20" t="s">
        <v>134</v>
      </c>
      <c r="ER25" s="20" t="s">
        <v>134</v>
      </c>
      <c r="ES25" s="20" t="s">
        <v>134</v>
      </c>
      <c r="ET25" s="20" t="s">
        <v>134</v>
      </c>
      <c r="EU25" s="20" t="s">
        <v>134</v>
      </c>
      <c r="EV25" s="20">
        <v>1.3002006497661716E-11</v>
      </c>
      <c r="EW25" s="20">
        <v>4.5984743685561271E-13</v>
      </c>
      <c r="EX25" s="20">
        <v>8.297554967273411E-9</v>
      </c>
      <c r="EY25" s="20">
        <v>1.0133451245886913E-10</v>
      </c>
      <c r="EZ25" s="20" t="s">
        <v>134</v>
      </c>
      <c r="FA25" s="20" t="s">
        <v>134</v>
      </c>
      <c r="FB25" s="20" t="s">
        <v>134</v>
      </c>
      <c r="FC25" s="20" t="s">
        <v>134</v>
      </c>
      <c r="FD25" s="20" t="s">
        <v>134</v>
      </c>
      <c r="FE25" s="20" t="s">
        <v>134</v>
      </c>
      <c r="FF25" s="20" t="s">
        <v>134</v>
      </c>
      <c r="FG25" s="20" t="s">
        <v>134</v>
      </c>
      <c r="FH25" s="20">
        <v>2.1983165559646254E-8</v>
      </c>
      <c r="FI25" s="20">
        <v>1.257049576125641E-9</v>
      </c>
      <c r="FJ25" s="20">
        <v>1.0259538767930639E-9</v>
      </c>
      <c r="FK25" s="20">
        <v>1.4683010240446541E-11</v>
      </c>
      <c r="FL25" s="20">
        <v>2.2345998027146785E-3</v>
      </c>
      <c r="FM25" s="20">
        <v>5.861814313191327E-5</v>
      </c>
      <c r="FN25" s="20">
        <v>0.77805313603358883</v>
      </c>
      <c r="FO25" s="20">
        <v>8.8170540160010732E-3</v>
      </c>
      <c r="FP25" s="20">
        <v>0.29339308123183838</v>
      </c>
      <c r="FQ25" s="20">
        <v>1.44504712918928E-3</v>
      </c>
      <c r="FR25" s="20">
        <v>1.9452961198290986E-2</v>
      </c>
      <c r="FS25" s="20">
        <v>4.0285807516542393E-4</v>
      </c>
      <c r="FT25" s="20">
        <v>0.46201050510048269</v>
      </c>
      <c r="FU25" s="20">
        <v>5.1585815453405849E-3</v>
      </c>
      <c r="FV25" s="20">
        <v>0.13086738184129423</v>
      </c>
      <c r="FW25" s="20">
        <v>2.3862353416468172E-3</v>
      </c>
      <c r="FX25" s="20" t="s">
        <v>134</v>
      </c>
      <c r="FY25" s="20" t="s">
        <v>134</v>
      </c>
      <c r="FZ25" s="20">
        <v>7.1957038981173408E-5</v>
      </c>
      <c r="GA25" s="20">
        <v>3.7598612805794789E-6</v>
      </c>
      <c r="GB25" s="20">
        <v>5.9580360232940124E-3</v>
      </c>
      <c r="GC25" s="20">
        <v>1.210425612960267E-4</v>
      </c>
      <c r="GD25" s="20">
        <v>1.7395139514082028</v>
      </c>
      <c r="GE25" s="20">
        <v>1.7096953502709084E-2</v>
      </c>
      <c r="GF25" s="20">
        <v>7.56794431262066E-2</v>
      </c>
      <c r="GG25" s="20">
        <v>6.0449289943125678E-4</v>
      </c>
      <c r="GH25" s="20" t="s">
        <v>134</v>
      </c>
      <c r="GI25" s="20" t="s">
        <v>134</v>
      </c>
      <c r="GJ25" s="20" t="s">
        <v>134</v>
      </c>
      <c r="GK25" s="20" t="s">
        <v>134</v>
      </c>
      <c r="GL25" s="20" t="s">
        <v>134</v>
      </c>
      <c r="GM25" s="20" t="s">
        <v>134</v>
      </c>
      <c r="GN25" s="20" t="s">
        <v>134</v>
      </c>
      <c r="GO25" s="20" t="s">
        <v>134</v>
      </c>
      <c r="GP25" s="20">
        <v>1.146086068509782E-4</v>
      </c>
      <c r="GQ25" s="20">
        <v>2.0107889942681842E-6</v>
      </c>
      <c r="GR25" s="20">
        <v>1.5040734514357019E-4</v>
      </c>
      <c r="GS25" s="20">
        <v>1.0001514072218253E-5</v>
      </c>
      <c r="GT25" s="20">
        <v>2.9334141890026046E-5</v>
      </c>
      <c r="GU25" s="20">
        <v>7.4411438367695654E-7</v>
      </c>
      <c r="GV25" s="20">
        <v>4.2831398429048094E-3</v>
      </c>
      <c r="GW25" s="20">
        <v>6.2851773538813053E-5</v>
      </c>
      <c r="GX25" s="20" t="s">
        <v>134</v>
      </c>
      <c r="GY25" s="20" t="s">
        <v>134</v>
      </c>
      <c r="GZ25" s="20">
        <v>4.1876409975514237E-4</v>
      </c>
      <c r="HA25" s="20">
        <v>3.9771172419626205E-6</v>
      </c>
      <c r="HB25" s="20" t="s">
        <v>134</v>
      </c>
      <c r="HC25" s="20" t="s">
        <v>134</v>
      </c>
      <c r="HD25" s="20" t="s">
        <v>134</v>
      </c>
      <c r="HE25" s="20" t="s">
        <v>134</v>
      </c>
      <c r="HF25" s="20" t="s">
        <v>134</v>
      </c>
      <c r="HG25" s="20" t="s">
        <v>134</v>
      </c>
      <c r="HH25" s="20" t="s">
        <v>134</v>
      </c>
      <c r="HI25" s="20" t="s">
        <v>134</v>
      </c>
      <c r="HJ25" s="20">
        <v>3.8024155761538372E-6</v>
      </c>
      <c r="HK25" s="20">
        <v>1.3448163226719325E-7</v>
      </c>
      <c r="HL25" s="20">
        <v>2.5092146750485605E-3</v>
      </c>
      <c r="HM25" s="20">
        <v>2.9600724432528198E-5</v>
      </c>
      <c r="HN25" s="20" t="s">
        <v>134</v>
      </c>
      <c r="HO25" s="20" t="s">
        <v>134</v>
      </c>
      <c r="HP25" s="20" t="s">
        <v>134</v>
      </c>
      <c r="HQ25" s="20" t="s">
        <v>134</v>
      </c>
      <c r="HR25" s="20" t="s">
        <v>134</v>
      </c>
      <c r="HS25" s="20" t="s">
        <v>134</v>
      </c>
      <c r="HT25" s="20" t="s">
        <v>134</v>
      </c>
      <c r="HU25" s="20" t="s">
        <v>134</v>
      </c>
      <c r="HV25" s="20">
        <v>1.1038367888789801E-2</v>
      </c>
      <c r="HW25" s="20">
        <v>3.0055931914035194E-4</v>
      </c>
      <c r="HX25" s="20">
        <v>3.0003853653164504E-4</v>
      </c>
      <c r="HY25" s="20">
        <v>4.294022376710923E-6</v>
      </c>
      <c r="HZ25" s="20" t="s">
        <v>134</v>
      </c>
      <c r="IA25" s="20" t="s">
        <v>134</v>
      </c>
      <c r="IB25" s="20">
        <v>3.7701756553599233</v>
      </c>
      <c r="IC25" s="20">
        <v>3.8445222579875087E-2</v>
      </c>
      <c r="ID25" s="20">
        <v>28.81685478183444</v>
      </c>
      <c r="IE25" s="20">
        <v>0.45404492413764042</v>
      </c>
      <c r="IF25" s="20">
        <v>0.12112864417972197</v>
      </c>
      <c r="IG25" s="20">
        <v>9.4630353727442017E-3</v>
      </c>
      <c r="IH25" s="20">
        <v>0.41296329452753261</v>
      </c>
      <c r="II25" s="20">
        <v>1.8119481361144052E-2</v>
      </c>
      <c r="IJ25" s="20">
        <v>1.5904206411016995</v>
      </c>
      <c r="IK25" s="20">
        <v>6.686748633070598E-2</v>
      </c>
      <c r="IL25" s="20">
        <v>0.18122213268735493</v>
      </c>
      <c r="IM25" s="20">
        <v>1.2549831512687471E-2</v>
      </c>
      <c r="IN25" s="20">
        <v>3.2679991554678224E-3</v>
      </c>
      <c r="IO25" s="20">
        <v>8.9118008941293147E-4</v>
      </c>
      <c r="IP25" s="20">
        <v>5.640813834151983E-2</v>
      </c>
      <c r="IQ25" s="20">
        <v>1.4670662222592543E-3</v>
      </c>
      <c r="IR25" s="20">
        <v>3.3952819300210324E-2</v>
      </c>
      <c r="IS25" s="20">
        <v>1.2577025252845226E-3</v>
      </c>
      <c r="IT25" s="20">
        <v>1.6027791821146806</v>
      </c>
      <c r="IU25" s="20">
        <v>3.1800327833580444E-2</v>
      </c>
      <c r="IV25" s="20">
        <v>3.2557788803478456</v>
      </c>
      <c r="IW25" s="20">
        <v>2.4816456602165124E-2</v>
      </c>
      <c r="IX25" s="20">
        <v>3.1805738334522445E-2</v>
      </c>
      <c r="IY25" s="20">
        <v>9.4598144031080144E-3</v>
      </c>
      <c r="IZ25" s="20">
        <v>0.20345007809856563</v>
      </c>
      <c r="JA25" s="20">
        <v>3.9927527706565677E-3</v>
      </c>
      <c r="JB25" s="20">
        <v>1.2832243997464804E-2</v>
      </c>
      <c r="JC25" s="20">
        <v>1.8562991028825532E-3</v>
      </c>
      <c r="JD25" s="20">
        <v>1.4689295726283461E-3</v>
      </c>
      <c r="JE25" s="20">
        <v>1.0509910205449924E-3</v>
      </c>
      <c r="JF25" s="20">
        <v>4.4206853073108657E-3</v>
      </c>
      <c r="JG25" s="20">
        <v>1.3322852592598906E-3</v>
      </c>
      <c r="JH25" s="20">
        <v>8.8030447248962241E-3</v>
      </c>
      <c r="JI25" s="20">
        <v>3.0154720624242259E-3</v>
      </c>
      <c r="JJ25" s="20">
        <v>1.3272889770488727E-4</v>
      </c>
      <c r="JK25" s="20">
        <v>5.4733054075569224E-4</v>
      </c>
      <c r="JL25" s="20">
        <v>1.9781233047263511E-2</v>
      </c>
      <c r="JM25" s="20">
        <v>4.4940270417630001E-4</v>
      </c>
      <c r="JN25" s="20">
        <v>8.002979712080617E-3</v>
      </c>
      <c r="JO25" s="20">
        <v>6.7736632435000019E-4</v>
      </c>
      <c r="JP25" s="20">
        <v>5.0490519004930824E-2</v>
      </c>
      <c r="JQ25" s="20">
        <v>1.0122115314721764E-3</v>
      </c>
      <c r="JR25" s="20" t="s">
        <v>134</v>
      </c>
      <c r="JS25" s="20" t="s">
        <v>134</v>
      </c>
      <c r="JT25" s="20" t="s">
        <v>134</v>
      </c>
      <c r="JU25" s="20" t="s">
        <v>134</v>
      </c>
      <c r="JV25" s="20">
        <v>3.2242930525557781E-4</v>
      </c>
      <c r="JW25" s="20">
        <v>4.0245871715644931E-5</v>
      </c>
      <c r="JX25" s="20">
        <v>4.3800732093375351E-3</v>
      </c>
      <c r="JY25" s="20">
        <v>5.4284330952832712E-4</v>
      </c>
      <c r="JZ25" s="20" t="s">
        <v>134</v>
      </c>
      <c r="KA25" s="20" t="s">
        <v>134</v>
      </c>
      <c r="KB25" s="20">
        <v>0.214455820906476</v>
      </c>
      <c r="KC25" s="20">
        <v>2.8414021297402592E-3</v>
      </c>
      <c r="KD25" s="20">
        <v>1.0499088075239038E-4</v>
      </c>
      <c r="KE25" s="20">
        <v>4.2330929810283866E-6</v>
      </c>
      <c r="KF25" s="20">
        <v>7.3207538524222519E-3</v>
      </c>
      <c r="KG25" s="20">
        <v>7.5966353099749117E-5</v>
      </c>
      <c r="KH25" s="20" t="s">
        <v>134</v>
      </c>
      <c r="KI25" s="20" t="s">
        <v>134</v>
      </c>
      <c r="KJ25" s="20">
        <v>3.5412763538253591E-5</v>
      </c>
      <c r="KK25" s="20">
        <v>1.8457941661994201E-4</v>
      </c>
      <c r="KL25" s="20">
        <v>10.424477366655383</v>
      </c>
      <c r="KM25" s="20">
        <v>9.9811772391025691E-2</v>
      </c>
      <c r="KN25" s="20">
        <v>1.6240499636861371E-2</v>
      </c>
      <c r="KO25" s="20">
        <v>3.4135977679108725E-4</v>
      </c>
    </row>
    <row r="26" spans="1:358" s="14" customFormat="1">
      <c r="A26" s="14" t="s">
        <v>128</v>
      </c>
      <c r="B26" s="14" t="s">
        <v>43</v>
      </c>
      <c r="C26" s="14" t="s">
        <v>10</v>
      </c>
      <c r="D26" s="14">
        <v>37.5</v>
      </c>
      <c r="E26" s="16">
        <v>0.33790094297098966</v>
      </c>
      <c r="F26" s="18">
        <v>0.54535239883636799</v>
      </c>
      <c r="G26" s="18"/>
      <c r="H26" s="18"/>
      <c r="I26" s="18"/>
      <c r="J26" s="16"/>
      <c r="K26" s="16"/>
      <c r="L26" s="16"/>
      <c r="M26" s="16"/>
      <c r="N26" s="16"/>
      <c r="O26" s="16"/>
      <c r="P26" s="16"/>
      <c r="Q26" s="16">
        <v>2.4099000000000004</v>
      </c>
      <c r="R26" s="16">
        <v>0.14467577544288521</v>
      </c>
      <c r="S26" s="16">
        <v>0.79459999999999997</v>
      </c>
      <c r="T26" s="16">
        <v>0.14467404743076812</v>
      </c>
      <c r="U26" s="15">
        <v>0.19082032022494474</v>
      </c>
      <c r="V26" s="15">
        <v>1.3722761030574746E-3</v>
      </c>
      <c r="W26" s="21">
        <v>-810.71993539318498</v>
      </c>
      <c r="X26" s="21">
        <v>1.3722761030574746</v>
      </c>
      <c r="Y26" s="14">
        <v>13310</v>
      </c>
      <c r="Z26" s="14">
        <v>60</v>
      </c>
      <c r="AA26" s="15">
        <v>0.18283519387961672</v>
      </c>
      <c r="AB26" s="15">
        <v>7.3058206500309971E-3</v>
      </c>
      <c r="AC26" s="15">
        <v>3.4839672084851614E-2</v>
      </c>
      <c r="AD26" s="15">
        <v>3.5274629310260396E-4</v>
      </c>
      <c r="AE26" s="20">
        <v>0.16893276215407538</v>
      </c>
      <c r="AF26" s="20">
        <v>2.6424731025280665E-3</v>
      </c>
      <c r="AG26" s="20">
        <v>4.8302572839558598E-2</v>
      </c>
      <c r="AH26" s="20">
        <v>7.3977433269408117E-4</v>
      </c>
      <c r="AI26" s="20">
        <v>2.8234299054452749E-2</v>
      </c>
      <c r="AJ26" s="20">
        <v>1.5477685881558213E-3</v>
      </c>
      <c r="AK26" s="20">
        <v>5.0343282820029134E-3</v>
      </c>
      <c r="AL26" s="20">
        <v>1.4950640121833861E-5</v>
      </c>
      <c r="AM26" s="20">
        <v>1.0234329599890879</v>
      </c>
      <c r="AN26" s="20">
        <v>8.5546799372178471E-4</v>
      </c>
      <c r="AO26" s="20">
        <v>0.15714275741365019</v>
      </c>
      <c r="AP26" s="20">
        <v>1.5429068908545561E-3</v>
      </c>
      <c r="AQ26" s="20">
        <v>2.0854253496378206E-2</v>
      </c>
      <c r="AR26" s="20">
        <v>1.9795504997069035E-3</v>
      </c>
      <c r="AS26" s="20">
        <v>2.2774834012722737E-2</v>
      </c>
      <c r="AT26" s="20">
        <v>1.1681666859166146E-4</v>
      </c>
      <c r="AU26" s="20">
        <v>4.1509293712364462E-2</v>
      </c>
      <c r="AV26" s="20">
        <v>3.9967795366521331E-6</v>
      </c>
      <c r="AW26" s="20">
        <v>3.9991412693743698E-2</v>
      </c>
      <c r="AX26" s="20">
        <v>9.7718872312757728E-5</v>
      </c>
      <c r="AY26" s="20">
        <v>2.2410314304921585E-2</v>
      </c>
      <c r="AZ26" s="20">
        <v>1.9461308792856061E-5</v>
      </c>
      <c r="BA26" s="20">
        <v>3.875814175880692E-3</v>
      </c>
      <c r="BB26" s="20">
        <v>5.7075317099279921E-6</v>
      </c>
      <c r="BC26" s="20">
        <v>0.77056147871280656</v>
      </c>
      <c r="BD26" s="20">
        <v>2.557491098958965E-3</v>
      </c>
      <c r="BE26" s="20">
        <v>0.19609014124512422</v>
      </c>
      <c r="BF26" s="20">
        <v>6.3290396150523457E-4</v>
      </c>
      <c r="BG26" s="20">
        <v>2.2170143474779165E-6</v>
      </c>
      <c r="BH26" s="67">
        <v>2.7386510703764307E-8</v>
      </c>
      <c r="BI26" s="20">
        <v>0.13605217464299946</v>
      </c>
      <c r="BJ26" s="20">
        <v>9.3135116742850885E-4</v>
      </c>
      <c r="BK26" s="20">
        <v>7.3249173254359576E-2</v>
      </c>
      <c r="BL26" s="20">
        <v>1.2954200297387188E-5</v>
      </c>
      <c r="BM26" s="20">
        <v>2.8877107954072067E-2</v>
      </c>
      <c r="BN26" s="20">
        <v>9.1298628333905162E-5</v>
      </c>
      <c r="BO26" s="20" t="s">
        <v>134</v>
      </c>
      <c r="BP26" s="20" t="s">
        <v>135</v>
      </c>
      <c r="BQ26" s="20">
        <v>2.1728333450399418E-3</v>
      </c>
      <c r="BR26" s="20">
        <v>5.7215904268873909E-6</v>
      </c>
      <c r="BS26" s="20" t="s">
        <v>134</v>
      </c>
      <c r="BT26" s="20" t="s">
        <v>135</v>
      </c>
      <c r="BU26" s="20">
        <v>0.17412777917124125</v>
      </c>
      <c r="BV26" s="20">
        <v>1.0566866505383674E-3</v>
      </c>
      <c r="BW26" s="18">
        <v>0.42587540279976921</v>
      </c>
      <c r="BX26" s="18">
        <v>1.0380691217342367E-2</v>
      </c>
      <c r="BY26" s="15">
        <v>2.6900978882864034E-3</v>
      </c>
      <c r="BZ26" s="18">
        <v>0.16488182034366999</v>
      </c>
      <c r="CA26" s="18">
        <v>7.6682993275732969E-2</v>
      </c>
      <c r="CB26" s="18">
        <v>2.8156537029610199E-2</v>
      </c>
      <c r="CC26" s="15">
        <v>7.3831407943027963E-2</v>
      </c>
      <c r="CD26" s="16">
        <v>1.0645481384340474</v>
      </c>
      <c r="CE26" s="16">
        <v>5.2921937740900216</v>
      </c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20">
        <v>1.5416954246763157E-9</v>
      </c>
      <c r="CY26" s="20">
        <v>4.1734432398787779E-10</v>
      </c>
      <c r="CZ26" s="20">
        <v>4.4698492795055072E-7</v>
      </c>
      <c r="DA26" s="20">
        <v>4.7633224883662926E-8</v>
      </c>
      <c r="DB26" s="20">
        <v>9.3339728098914741E-7</v>
      </c>
      <c r="DC26" s="20">
        <v>6.335807914040651E-9</v>
      </c>
      <c r="DD26" s="20">
        <v>1.5200971857947892E-8</v>
      </c>
      <c r="DE26" s="20">
        <v>1.6707607959197517E-9</v>
      </c>
      <c r="DF26" s="20">
        <v>7.5303361918083276E-7</v>
      </c>
      <c r="DG26" s="20">
        <v>2.1182386268115076E-8</v>
      </c>
      <c r="DH26" s="20">
        <v>3.5401118599392311E-7</v>
      </c>
      <c r="DI26" s="20">
        <v>7.411596207035085E-9</v>
      </c>
      <c r="DJ26" s="20" t="s">
        <v>134</v>
      </c>
      <c r="DK26" s="20" t="s">
        <v>134</v>
      </c>
      <c r="DL26" s="20" t="s">
        <v>134</v>
      </c>
      <c r="DM26" s="20" t="s">
        <v>134</v>
      </c>
      <c r="DN26" s="20">
        <v>2.1367117445585718E-8</v>
      </c>
      <c r="DO26" s="20">
        <v>3.4143381831590658E-10</v>
      </c>
      <c r="DP26" s="20">
        <v>7.3119530347486112E-6</v>
      </c>
      <c r="DQ26" s="20">
        <v>8.7999312506912253E-8</v>
      </c>
      <c r="DR26" s="20">
        <v>4.5997844973681675E-9</v>
      </c>
      <c r="DS26" s="20">
        <v>5.1054296584531922E-11</v>
      </c>
      <c r="DT26" s="20" t="s">
        <v>134</v>
      </c>
      <c r="DU26" s="20" t="s">
        <v>134</v>
      </c>
      <c r="DV26" s="20" t="s">
        <v>134</v>
      </c>
      <c r="DW26" s="20" t="s">
        <v>134</v>
      </c>
      <c r="DX26" s="20" t="s">
        <v>134</v>
      </c>
      <c r="DY26" s="20" t="s">
        <v>134</v>
      </c>
      <c r="DZ26" s="20" t="s">
        <v>134</v>
      </c>
      <c r="EA26" s="20" t="s">
        <v>134</v>
      </c>
      <c r="EB26" s="20">
        <v>-2.8164669822425235E-11</v>
      </c>
      <c r="EC26" s="20">
        <v>1.1834614573986022E-11</v>
      </c>
      <c r="ED26" s="20">
        <v>-2.4840772186906071E-10</v>
      </c>
      <c r="EE26" s="20">
        <v>5.0552020906891994E-11</v>
      </c>
      <c r="EF26" s="20">
        <v>6.1837272668316471E-11</v>
      </c>
      <c r="EG26" s="20">
        <v>1.2966811881121096E-12</v>
      </c>
      <c r="EH26" s="20">
        <v>1.50642264079559E-8</v>
      </c>
      <c r="EI26" s="20">
        <v>2.1482128869019845E-10</v>
      </c>
      <c r="EJ26" s="20" t="s">
        <v>134</v>
      </c>
      <c r="EK26" s="20" t="s">
        <v>134</v>
      </c>
      <c r="EL26" s="20">
        <v>1.2407996842529416E-9</v>
      </c>
      <c r="EM26" s="20">
        <v>1.0372871398039863E-11</v>
      </c>
      <c r="EN26" s="20" t="s">
        <v>134</v>
      </c>
      <c r="EO26" s="20" t="s">
        <v>134</v>
      </c>
      <c r="EP26" s="20" t="s">
        <v>134</v>
      </c>
      <c r="EQ26" s="20" t="s">
        <v>134</v>
      </c>
      <c r="ER26" s="20" t="s">
        <v>134</v>
      </c>
      <c r="ES26" s="20" t="s">
        <v>134</v>
      </c>
      <c r="ET26" s="20" t="s">
        <v>134</v>
      </c>
      <c r="EU26" s="20" t="s">
        <v>134</v>
      </c>
      <c r="EV26" s="20">
        <v>1.7563053879487466E-11</v>
      </c>
      <c r="EW26" s="20">
        <v>5.744676162315925E-13</v>
      </c>
      <c r="EX26" s="20">
        <v>1.0035988603700731E-8</v>
      </c>
      <c r="EY26" s="20">
        <v>6.3637236795967708E-11</v>
      </c>
      <c r="EZ26" s="20" t="s">
        <v>134</v>
      </c>
      <c r="FA26" s="20" t="s">
        <v>134</v>
      </c>
      <c r="FB26" s="20">
        <v>-5.7742606678880077E-11</v>
      </c>
      <c r="FC26" s="20">
        <v>2.3047272628742528E-12</v>
      </c>
      <c r="FD26" s="20" t="s">
        <v>134</v>
      </c>
      <c r="FE26" s="20" t="s">
        <v>134</v>
      </c>
      <c r="FF26" s="20" t="s">
        <v>134</v>
      </c>
      <c r="FG26" s="20" t="s">
        <v>134</v>
      </c>
      <c r="FH26" s="20">
        <v>2.3783296567329844E-8</v>
      </c>
      <c r="FI26" s="20">
        <v>1.73383774814067E-9</v>
      </c>
      <c r="FJ26" s="20">
        <v>2.4635078830351702E-10</v>
      </c>
      <c r="FK26" s="20">
        <v>7.0596311564996352E-12</v>
      </c>
      <c r="FL26" s="20">
        <v>2.9163665726668671E-3</v>
      </c>
      <c r="FM26" s="20">
        <v>1.2004153484565603E-4</v>
      </c>
      <c r="FN26" s="20">
        <v>1.1923901402413548</v>
      </c>
      <c r="FO26" s="20">
        <v>1.2746197369184418E-2</v>
      </c>
      <c r="FP26" s="20">
        <v>0.34759748260670004</v>
      </c>
      <c r="FQ26" s="20">
        <v>2.3539365338932786E-3</v>
      </c>
      <c r="FR26" s="20">
        <v>2.9681032815141319E-2</v>
      </c>
      <c r="FS26" s="20">
        <v>3.6269952454347269E-4</v>
      </c>
      <c r="FT26" s="20">
        <v>0.54428996079769132</v>
      </c>
      <c r="FU26" s="20">
        <v>6.8352838868456778E-3</v>
      </c>
      <c r="FV26" s="20">
        <v>0.15654689942213423</v>
      </c>
      <c r="FW26" s="20">
        <v>2.7228954937984842E-3</v>
      </c>
      <c r="FX26" s="20" t="s">
        <v>134</v>
      </c>
      <c r="FY26" s="20" t="s">
        <v>134</v>
      </c>
      <c r="FZ26" s="20" t="s">
        <v>134</v>
      </c>
      <c r="GA26" s="20" t="s">
        <v>134</v>
      </c>
      <c r="GB26" s="20">
        <v>7.9428772977464413E-3</v>
      </c>
      <c r="GC26" s="20">
        <v>1.2692245133629707E-4</v>
      </c>
      <c r="GD26" s="20">
        <v>2.7253846479131152</v>
      </c>
      <c r="GE26" s="20">
        <v>3.2711752620044637E-2</v>
      </c>
      <c r="GF26" s="20">
        <v>1.7098948396625957E-3</v>
      </c>
      <c r="GG26" s="20">
        <v>1.8978601785027826E-5</v>
      </c>
      <c r="GH26" s="20" t="s">
        <v>134</v>
      </c>
      <c r="GI26" s="20" t="s">
        <v>134</v>
      </c>
      <c r="GJ26" s="20" t="s">
        <v>134</v>
      </c>
      <c r="GK26" s="20" t="s">
        <v>134</v>
      </c>
      <c r="GL26" s="20" t="s">
        <v>134</v>
      </c>
      <c r="GM26" s="20" t="s">
        <v>134</v>
      </c>
      <c r="GN26" s="20" t="s">
        <v>134</v>
      </c>
      <c r="GO26" s="20" t="s">
        <v>134</v>
      </c>
      <c r="GP26" s="20">
        <v>1.4754095235013242E-4</v>
      </c>
      <c r="GQ26" s="20">
        <v>4.0439120291672601E-6</v>
      </c>
      <c r="GR26" s="20">
        <v>2.8055902140156303E-4</v>
      </c>
      <c r="GS26" s="20">
        <v>1.3770422361236197E-5</v>
      </c>
      <c r="GT26" s="20">
        <v>2.2986997215817639E-5</v>
      </c>
      <c r="GU26" s="20">
        <v>4.8202007583378215E-7</v>
      </c>
      <c r="GV26" s="20">
        <v>5.5998803885727129E-3</v>
      </c>
      <c r="GW26" s="20">
        <v>7.9856309179529502E-5</v>
      </c>
      <c r="GX26" s="20" t="s">
        <v>134</v>
      </c>
      <c r="GY26" s="20" t="s">
        <v>134</v>
      </c>
      <c r="GZ26" s="20">
        <v>4.6124703850213157E-4</v>
      </c>
      <c r="HA26" s="20">
        <v>3.8559457048781957E-6</v>
      </c>
      <c r="HB26" s="20" t="s">
        <v>134</v>
      </c>
      <c r="HC26" s="20" t="s">
        <v>134</v>
      </c>
      <c r="HD26" s="20" t="s">
        <v>134</v>
      </c>
      <c r="HE26" s="20" t="s">
        <v>134</v>
      </c>
      <c r="HF26" s="20" t="s">
        <v>134</v>
      </c>
      <c r="HG26" s="20" t="s">
        <v>134</v>
      </c>
      <c r="HH26" s="20" t="s">
        <v>134</v>
      </c>
      <c r="HI26" s="20" t="s">
        <v>134</v>
      </c>
      <c r="HJ26" s="20">
        <v>6.5287787317937183E-6</v>
      </c>
      <c r="HK26" s="20">
        <v>2.1354896367638477E-7</v>
      </c>
      <c r="HL26" s="20">
        <v>3.845619795295763E-3</v>
      </c>
      <c r="HM26" s="20">
        <v>2.3572656108850668E-5</v>
      </c>
      <c r="HN26" s="20" t="s">
        <v>134</v>
      </c>
      <c r="HO26" s="20" t="s">
        <v>134</v>
      </c>
      <c r="HP26" s="20">
        <v>2.5533889724653647E-5</v>
      </c>
      <c r="HQ26" s="20">
        <v>5.4071891244485298E-7</v>
      </c>
      <c r="HR26" s="20" t="s">
        <v>134</v>
      </c>
      <c r="HS26" s="20" t="s">
        <v>134</v>
      </c>
      <c r="HT26" s="20" t="s">
        <v>134</v>
      </c>
      <c r="HU26" s="20" t="s">
        <v>134</v>
      </c>
      <c r="HV26" s="20">
        <v>1.5252579614960581E-2</v>
      </c>
      <c r="HW26" s="20">
        <v>5.7333798063426524E-4</v>
      </c>
      <c r="HX26" s="20">
        <v>9.1576886244999376E-5</v>
      </c>
      <c r="HY26" s="20">
        <v>2.624302701860649E-6</v>
      </c>
      <c r="HZ26" s="20" t="s">
        <v>134</v>
      </c>
      <c r="IA26" s="20" t="s">
        <v>134</v>
      </c>
      <c r="IB26" s="20">
        <v>0.5290329969903993</v>
      </c>
      <c r="IC26" s="20">
        <v>9.9378042334738164E-3</v>
      </c>
      <c r="ID26" s="20">
        <v>40.221260080396178</v>
      </c>
      <c r="IE26" s="20">
        <v>1.1420277963100967</v>
      </c>
      <c r="IF26" s="20">
        <v>6.1730875264735342E-2</v>
      </c>
      <c r="IG26" s="20">
        <v>8.5908465117075245E-3</v>
      </c>
      <c r="IH26" s="20">
        <v>0.15522637305100512</v>
      </c>
      <c r="II26" s="20">
        <v>1.7955338402756087E-2</v>
      </c>
      <c r="IJ26" s="20">
        <v>0.34171324816938592</v>
      </c>
      <c r="IK26" s="20">
        <v>3.8135756519598996E-2</v>
      </c>
      <c r="IL26" s="20">
        <v>0.21633698353792685</v>
      </c>
      <c r="IM26" s="20">
        <v>1.0499293183893608E-2</v>
      </c>
      <c r="IN26" s="20">
        <v>2.5843757807133506E-3</v>
      </c>
      <c r="IO26" s="20">
        <v>8.1911855813606165E-4</v>
      </c>
      <c r="IP26" s="20">
        <v>5.1620194543873461E-2</v>
      </c>
      <c r="IQ26" s="20">
        <v>1.0395266496571983E-3</v>
      </c>
      <c r="IR26" s="20">
        <v>4.4346427329087362E-3</v>
      </c>
      <c r="IS26" s="20">
        <v>9.8121633886250666E-4</v>
      </c>
      <c r="IT26" s="20">
        <v>0.4613290449150052</v>
      </c>
      <c r="IU26" s="20">
        <v>1.4936602082176646E-2</v>
      </c>
      <c r="IV26" s="20">
        <v>0.41191357141439405</v>
      </c>
      <c r="IW26" s="20">
        <v>4.9370238094803504E-3</v>
      </c>
      <c r="IX26" s="20" t="s">
        <v>134</v>
      </c>
      <c r="IY26" s="20" t="s">
        <v>134</v>
      </c>
      <c r="IZ26" s="20">
        <v>0.10916024248521231</v>
      </c>
      <c r="JA26" s="20">
        <v>3.0372305112671464E-3</v>
      </c>
      <c r="JB26" s="20">
        <v>1.3046123867007915E-2</v>
      </c>
      <c r="JC26" s="20">
        <v>1.7432351197657378E-3</v>
      </c>
      <c r="JD26" s="20">
        <v>3.3569435851744352E-3</v>
      </c>
      <c r="JE26" s="20">
        <v>9.6904695138665814E-4</v>
      </c>
      <c r="JF26" s="20">
        <v>5.4772726183827478E-3</v>
      </c>
      <c r="JG26" s="20">
        <v>1.2183654958870223E-3</v>
      </c>
      <c r="JH26" s="20">
        <v>2.5449505736083747E-2</v>
      </c>
      <c r="JI26" s="20">
        <v>2.7811978771363588E-3</v>
      </c>
      <c r="JJ26" s="20" t="s">
        <v>134</v>
      </c>
      <c r="JK26" s="20" t="s">
        <v>134</v>
      </c>
      <c r="JL26" s="20">
        <v>4.1041200429823644E-3</v>
      </c>
      <c r="JM26" s="20">
        <v>4.1471344948868302E-4</v>
      </c>
      <c r="JN26" s="20">
        <v>6.4523246232643609E-3</v>
      </c>
      <c r="JO26" s="20">
        <v>6.2359995334365572E-4</v>
      </c>
      <c r="JP26" s="20">
        <v>4.2118375820474563E-2</v>
      </c>
      <c r="JQ26" s="20">
        <v>8.1712959267708264E-4</v>
      </c>
      <c r="JR26" s="20" t="s">
        <v>134</v>
      </c>
      <c r="JS26" s="20" t="s">
        <v>134</v>
      </c>
      <c r="JT26" s="20" t="s">
        <v>134</v>
      </c>
      <c r="JU26" s="20" t="s">
        <v>134</v>
      </c>
      <c r="JV26" s="20">
        <v>2.907973627706561E-4</v>
      </c>
      <c r="JW26" s="20">
        <v>5.8079445249451889E-5</v>
      </c>
      <c r="JX26" s="20">
        <v>3.3114114184039302E-3</v>
      </c>
      <c r="JY26" s="20">
        <v>4.9878984571534132E-4</v>
      </c>
      <c r="JZ26" s="20" t="s">
        <v>134</v>
      </c>
      <c r="KA26" s="20" t="s">
        <v>134</v>
      </c>
      <c r="KB26" s="20">
        <v>5.9170360821858246E-2</v>
      </c>
      <c r="KC26" s="20">
        <v>8.9972704366239652E-4</v>
      </c>
      <c r="KD26" s="20">
        <v>9.2475930130834791E-5</v>
      </c>
      <c r="KE26" s="20">
        <v>1.4001690761806836E-5</v>
      </c>
      <c r="KF26" s="20">
        <v>6.316569983010438E-3</v>
      </c>
      <c r="KG26" s="20">
        <v>5.4393886542748256E-5</v>
      </c>
      <c r="KH26" s="20" t="s">
        <v>134</v>
      </c>
      <c r="KI26" s="20" t="s">
        <v>134</v>
      </c>
      <c r="KJ26" s="20">
        <v>4.9771314159011416E-5</v>
      </c>
      <c r="KK26" s="20">
        <v>1.6978245954497279E-4</v>
      </c>
      <c r="KL26" s="20">
        <v>15.420983955183948</v>
      </c>
      <c r="KM26" s="20">
        <v>5.4783149618538557E-2</v>
      </c>
      <c r="KN26" s="20">
        <v>9.2552857399799855E-3</v>
      </c>
      <c r="KO26" s="20">
        <v>3.6022723085053917E-4</v>
      </c>
    </row>
    <row r="27" spans="1:358" s="14" customFormat="1">
      <c r="A27" s="14" t="s">
        <v>128</v>
      </c>
      <c r="B27" s="14" t="s">
        <v>44</v>
      </c>
      <c r="C27" s="14" t="s">
        <v>23</v>
      </c>
      <c r="D27" s="14">
        <v>52.5</v>
      </c>
      <c r="E27" s="16">
        <v>0.54017649790989319</v>
      </c>
      <c r="F27" s="18">
        <v>0.13293777609348578</v>
      </c>
      <c r="G27" s="18"/>
      <c r="H27" s="18"/>
      <c r="I27" s="18"/>
      <c r="J27" s="16">
        <v>0.8940756374195572</v>
      </c>
      <c r="K27" s="16">
        <v>6.194218681951659E-2</v>
      </c>
      <c r="L27" s="16">
        <v>0.10718011257157396</v>
      </c>
      <c r="M27" s="16">
        <v>2.7280097572989297E-3</v>
      </c>
      <c r="N27" s="16">
        <v>-25.965100339999999</v>
      </c>
      <c r="O27" s="16">
        <v>0.10059247329044549</v>
      </c>
      <c r="P27" s="21">
        <f>J27/L27</f>
        <v>8.3418053589232901</v>
      </c>
      <c r="Q27" s="16">
        <v>1.5649999999999995</v>
      </c>
      <c r="R27" s="16">
        <v>4.2011903075199974E-2</v>
      </c>
      <c r="S27" s="16">
        <v>1.2385000000000002</v>
      </c>
      <c r="T27" s="16">
        <v>4.171930009000626E-2</v>
      </c>
      <c r="AA27" s="15">
        <v>9.5391710687478717E-2</v>
      </c>
      <c r="AB27" s="15">
        <v>1.1705397416487725E-3</v>
      </c>
      <c r="AC27" s="15">
        <v>1.3346209470003745E-2</v>
      </c>
      <c r="AD27" s="15">
        <v>6.7960960861149699E-5</v>
      </c>
      <c r="AE27" s="20">
        <v>0.12699257269750822</v>
      </c>
      <c r="AF27" s="20">
        <v>5.7313181917373161E-3</v>
      </c>
      <c r="AG27" s="20">
        <v>2.8086614695096351E-2</v>
      </c>
      <c r="AH27" s="20">
        <v>3.9154904759305524E-4</v>
      </c>
      <c r="AI27" s="20">
        <v>1.822976221318285E-2</v>
      </c>
      <c r="AJ27" s="20">
        <v>4.823842152839855E-4</v>
      </c>
      <c r="AK27" s="20">
        <v>2.8526608457761079E-3</v>
      </c>
      <c r="AL27" s="20">
        <v>4.4153696717473931E-5</v>
      </c>
      <c r="AM27" s="20">
        <v>0.72092258707159462</v>
      </c>
      <c r="AN27" s="20">
        <v>4.5010876436548802E-2</v>
      </c>
      <c r="AO27" s="20">
        <v>7.9662204452123964E-2</v>
      </c>
      <c r="AP27" s="20">
        <v>1.6625033990187263E-4</v>
      </c>
      <c r="AQ27" s="20">
        <v>1.2105655396098019E-2</v>
      </c>
      <c r="AR27" s="20">
        <v>4.5205235870555136E-4</v>
      </c>
      <c r="AS27" s="20">
        <v>1.6506929137278241E-2</v>
      </c>
      <c r="AT27" s="20">
        <v>8.8649517984053685E-6</v>
      </c>
      <c r="AU27" s="20">
        <v>3.6622606932749935E-2</v>
      </c>
      <c r="AV27" s="20">
        <v>5.3242578959175296E-5</v>
      </c>
      <c r="AW27" s="20">
        <v>3.2470365522185227E-2</v>
      </c>
      <c r="AX27" s="20">
        <v>1.2565108895366343E-4</v>
      </c>
      <c r="AY27" s="20">
        <v>2.1006795673545124E-2</v>
      </c>
      <c r="AZ27" s="20">
        <v>1.4406269885597779E-5</v>
      </c>
      <c r="BA27" s="20">
        <v>2.464939698814627E-3</v>
      </c>
      <c r="BB27" s="20">
        <v>1.1785120602776448E-6</v>
      </c>
      <c r="BC27" s="20">
        <v>0.48920981372633254</v>
      </c>
      <c r="BD27" s="20">
        <v>5.5677689019462768E-4</v>
      </c>
      <c r="BE27" s="20">
        <v>0.188065039636687</v>
      </c>
      <c r="BF27" s="20">
        <v>1.3226930691656396E-4</v>
      </c>
      <c r="BG27" s="20">
        <v>1.6731071671956436E-6</v>
      </c>
      <c r="BH27" s="67">
        <v>6.1849319639983157E-9</v>
      </c>
      <c r="BI27" s="20">
        <v>0.13851988206972932</v>
      </c>
      <c r="BJ27" s="20">
        <v>6.1212637542350159E-4</v>
      </c>
      <c r="BK27" s="20">
        <v>6.0654647322875441E-2</v>
      </c>
      <c r="BL27" s="20">
        <v>6.1930155098238369E-5</v>
      </c>
      <c r="BM27" s="20">
        <v>2.4816939049313563E-2</v>
      </c>
      <c r="BN27" s="20">
        <v>3.079322871813961E-5</v>
      </c>
      <c r="BO27" s="20" t="s">
        <v>134</v>
      </c>
      <c r="BP27" s="20" t="s">
        <v>135</v>
      </c>
      <c r="BQ27" s="20">
        <v>1.3736938174074918E-3</v>
      </c>
      <c r="BR27" s="20">
        <v>3.2082284936007187E-6</v>
      </c>
      <c r="BS27" s="20" t="s">
        <v>134</v>
      </c>
      <c r="BT27" s="20" t="s">
        <v>135</v>
      </c>
      <c r="BU27" s="20">
        <v>0.12482321513767608</v>
      </c>
      <c r="BV27" s="20">
        <v>4.5855947547841691E-5</v>
      </c>
      <c r="BW27" s="60"/>
      <c r="BX27" s="60"/>
      <c r="BY27" s="15"/>
      <c r="BZ27" s="18"/>
      <c r="CA27" s="18"/>
      <c r="CB27" s="18"/>
    </row>
    <row r="28" spans="1:358" s="14" customFormat="1">
      <c r="A28" s="14" t="s">
        <v>128</v>
      </c>
      <c r="B28" s="14" t="s">
        <v>45</v>
      </c>
      <c r="C28" s="14" t="s">
        <v>46</v>
      </c>
      <c r="D28" s="14">
        <v>65</v>
      </c>
      <c r="E28" s="16">
        <v>0.35107673008572027</v>
      </c>
      <c r="F28" s="18">
        <v>0.34251159960447258</v>
      </c>
      <c r="G28" s="18"/>
      <c r="H28" s="18"/>
      <c r="I28" s="18"/>
      <c r="J28" s="16"/>
      <c r="K28" s="16"/>
      <c r="L28" s="16"/>
      <c r="M28" s="16"/>
      <c r="N28" s="16"/>
      <c r="O28" s="16"/>
      <c r="P28" s="16"/>
      <c r="Q28" s="16">
        <v>1.1235000000000004</v>
      </c>
      <c r="R28" s="16">
        <v>9.834886882928548E-2</v>
      </c>
      <c r="S28" s="16">
        <v>1.3294999999999999</v>
      </c>
      <c r="T28" s="16">
        <v>9.1216774773064627E-2</v>
      </c>
      <c r="U28" s="15">
        <v>9.148966093593093E-2</v>
      </c>
      <c r="V28" s="15">
        <v>1.3865675690360995E-3</v>
      </c>
      <c r="W28" s="21">
        <v>-909.24882154901218</v>
      </c>
      <c r="X28" s="21">
        <v>1.3865675690360995</v>
      </c>
      <c r="Y28" s="14">
        <v>19210</v>
      </c>
      <c r="Z28" s="14">
        <v>130</v>
      </c>
      <c r="AA28" s="15">
        <v>5.1692073662412838E-2</v>
      </c>
      <c r="AB28" s="15">
        <v>1.7954411597626136E-3</v>
      </c>
      <c r="AC28" s="15">
        <v>7.2483894175583881E-3</v>
      </c>
      <c r="AD28" s="15">
        <v>1.3979254819291648E-4</v>
      </c>
      <c r="AE28" s="20">
        <v>0.17213627324026579</v>
      </c>
      <c r="AF28" s="20">
        <v>6.8701449769789395E-3</v>
      </c>
      <c r="AG28" s="20">
        <v>2.0742924543510427E-2</v>
      </c>
      <c r="AH28" s="20">
        <v>1.4019988383889076E-3</v>
      </c>
      <c r="AI28" s="20">
        <v>1.468396497855875E-2</v>
      </c>
      <c r="AJ28" s="20">
        <v>7.8793257921109963E-4</v>
      </c>
      <c r="AK28" s="20">
        <v>4.5505509230966135E-3</v>
      </c>
      <c r="AL28" s="20">
        <v>8.4326505744384663E-5</v>
      </c>
      <c r="AM28" s="20">
        <v>1.0614159440648352</v>
      </c>
      <c r="AN28" s="20">
        <v>4.8164075652196825E-2</v>
      </c>
      <c r="AO28" s="20">
        <v>4.9206196540948682E-2</v>
      </c>
      <c r="AP28" s="20">
        <v>2.8875919878033635E-3</v>
      </c>
      <c r="AQ28" s="20">
        <v>1.1806200505930856E-2</v>
      </c>
      <c r="AR28" s="20">
        <v>5.7350505564620084E-4</v>
      </c>
      <c r="AS28" s="20">
        <v>1.9839680150720098E-2</v>
      </c>
      <c r="AT28" s="20">
        <v>4.022015048293856E-5</v>
      </c>
      <c r="AU28" s="20">
        <v>3.9255433749977357E-2</v>
      </c>
      <c r="AV28" s="20">
        <v>1.0964253974129661E-4</v>
      </c>
      <c r="AW28" s="20">
        <v>3.9006467304095287E-2</v>
      </c>
      <c r="AX28" s="20">
        <v>2.0345584861869575E-4</v>
      </c>
      <c r="AY28" s="20">
        <v>2.296915373195153E-2</v>
      </c>
      <c r="AZ28" s="20">
        <v>3.5108864364479741E-5</v>
      </c>
      <c r="BA28" s="20">
        <v>3.5143048682371209E-3</v>
      </c>
      <c r="BB28" s="20">
        <v>3.0080996336864959E-6</v>
      </c>
      <c r="BC28" s="20">
        <v>0.57472718065995121</v>
      </c>
      <c r="BD28" s="20">
        <v>1.9642660013344925E-3</v>
      </c>
      <c r="BE28" s="20">
        <v>0.20892224223095568</v>
      </c>
      <c r="BF28" s="20">
        <v>7.5518386015681793E-4</v>
      </c>
      <c r="BG28" s="20">
        <v>1.401424662774807E-6</v>
      </c>
      <c r="BH28" s="67">
        <v>9.5935383587916551E-9</v>
      </c>
      <c r="BI28" s="20">
        <v>0.13428177968022456</v>
      </c>
      <c r="BJ28" s="20">
        <v>6.1047410575306197E-4</v>
      </c>
      <c r="BK28" s="20">
        <v>5.9541402466739994E-2</v>
      </c>
      <c r="BL28" s="20">
        <v>3.4142885428178101E-4</v>
      </c>
      <c r="BM28" s="20">
        <v>2.6882915555817552E-2</v>
      </c>
      <c r="BN28" s="20">
        <v>2.098424329736137E-7</v>
      </c>
      <c r="BO28" s="20" t="s">
        <v>134</v>
      </c>
      <c r="BP28" s="20" t="s">
        <v>135</v>
      </c>
      <c r="BQ28" s="20">
        <v>1.4493842207933048E-3</v>
      </c>
      <c r="BR28" s="20">
        <v>9.6857248274695606E-7</v>
      </c>
      <c r="BS28" s="20" t="s">
        <v>134</v>
      </c>
      <c r="BT28" s="20" t="s">
        <v>135</v>
      </c>
      <c r="BU28" s="20">
        <v>0.10542750043542727</v>
      </c>
      <c r="BV28" s="20">
        <v>2.0045463691663662E-3</v>
      </c>
      <c r="BW28" s="61"/>
      <c r="BX28" s="61"/>
      <c r="BY28" s="15"/>
      <c r="BZ28" s="18"/>
      <c r="CA28" s="18"/>
      <c r="CB28" s="18"/>
    </row>
    <row r="29" spans="1:358" s="14" customFormat="1">
      <c r="A29" s="14" t="s">
        <v>129</v>
      </c>
      <c r="B29" s="14" t="s">
        <v>47</v>
      </c>
      <c r="C29" s="14" t="s">
        <v>48</v>
      </c>
      <c r="D29" s="14">
        <v>9</v>
      </c>
      <c r="E29" s="16">
        <v>0.98625064733298806</v>
      </c>
      <c r="F29" s="18">
        <v>0.42406078273451037</v>
      </c>
      <c r="G29" s="19">
        <v>19.267615907274049</v>
      </c>
      <c r="H29" s="19">
        <v>60.237549160671648</v>
      </c>
      <c r="I29" s="19">
        <v>20.4948349320543</v>
      </c>
      <c r="Q29" s="16">
        <v>7.3740000000000006</v>
      </c>
      <c r="R29" s="16">
        <v>4.9497474683057895E-2</v>
      </c>
      <c r="S29" s="16">
        <v>0</v>
      </c>
      <c r="T29" s="16">
        <v>2.3122391744800097E-3</v>
      </c>
      <c r="AA29" s="15">
        <v>4.0619849790963933E-2</v>
      </c>
      <c r="AB29" s="15">
        <v>3.8402025023580341E-3</v>
      </c>
      <c r="AC29" s="15">
        <v>0.19675823415884952</v>
      </c>
      <c r="AD29" s="15">
        <v>1.7404409409611649E-2</v>
      </c>
      <c r="AE29" s="20">
        <v>4.6728239538673111E-2</v>
      </c>
      <c r="AF29" s="20">
        <v>8.3083149197578203E-4</v>
      </c>
      <c r="AG29" s="20">
        <v>6.6099179247285172E-2</v>
      </c>
      <c r="AH29" s="20">
        <v>2.2175364315437317E-3</v>
      </c>
      <c r="AI29" s="20">
        <v>4.5249495178203591E-2</v>
      </c>
      <c r="AJ29" s="20">
        <v>2.2658418683236438E-4</v>
      </c>
      <c r="AK29" s="20">
        <v>4.7552797574241766E-3</v>
      </c>
      <c r="AL29" s="20">
        <v>2.3246669776838156E-4</v>
      </c>
      <c r="AM29" s="20">
        <v>0.23016227342658369</v>
      </c>
      <c r="AN29" s="20">
        <v>2.837493866678312E-3</v>
      </c>
      <c r="AO29" s="20">
        <v>8.0672339829025691E-2</v>
      </c>
      <c r="AP29" s="20">
        <v>4.8410599118103414E-4</v>
      </c>
      <c r="AQ29" s="20">
        <v>1.1157112140219683E-2</v>
      </c>
      <c r="AR29" s="20">
        <v>6.3594243133289165E-5</v>
      </c>
      <c r="AS29" s="20">
        <v>3.056397480741594E-2</v>
      </c>
      <c r="AT29" s="20">
        <v>6.2425820228210804E-5</v>
      </c>
      <c r="AU29" s="20">
        <v>4.3163131793825645E-2</v>
      </c>
      <c r="AV29" s="20">
        <v>1.2414611527987779E-4</v>
      </c>
      <c r="AW29" s="20">
        <v>3.848222317973693E-2</v>
      </c>
      <c r="AX29" s="20">
        <v>1.2276244498118168E-4</v>
      </c>
      <c r="AY29" s="20">
        <v>1.6554287900986807E-2</v>
      </c>
      <c r="AZ29" s="20">
        <v>1.2755207663035916E-5</v>
      </c>
      <c r="BA29" s="20">
        <v>6.6025299192843537E-3</v>
      </c>
      <c r="BB29" s="20">
        <v>9.9338267366390458E-6</v>
      </c>
      <c r="BC29" s="20">
        <v>0.21569041653758417</v>
      </c>
      <c r="BD29" s="20">
        <v>1.44268009538432E-3</v>
      </c>
      <c r="BE29" s="20">
        <v>0.22697369222422281</v>
      </c>
      <c r="BF29" s="20">
        <v>3.8606752894249682E-4</v>
      </c>
      <c r="BG29" s="20">
        <v>3.5191672031293473E-6</v>
      </c>
      <c r="BH29" s="67">
        <v>4.0797874307932705E-8</v>
      </c>
      <c r="BI29" s="20">
        <v>1.9127826777051458E-2</v>
      </c>
      <c r="BJ29" s="20">
        <v>5.9289916021429303E-5</v>
      </c>
      <c r="BK29" s="20">
        <v>5.1413416912316552E-2</v>
      </c>
      <c r="BL29" s="20">
        <v>1.1033479084593658E-4</v>
      </c>
      <c r="BM29" s="20">
        <v>2.1717199972103807E-2</v>
      </c>
      <c r="BN29" s="20">
        <v>3.765076109246075E-5</v>
      </c>
      <c r="BO29" s="20" t="s">
        <v>134</v>
      </c>
      <c r="BP29" s="20" t="s">
        <v>135</v>
      </c>
      <c r="BQ29" s="20">
        <v>3.7708905939011191E-3</v>
      </c>
      <c r="BR29" s="20">
        <v>1.1125125123743241E-5</v>
      </c>
      <c r="BS29" s="20">
        <v>1.7467028794620144E-3</v>
      </c>
      <c r="BT29" s="20">
        <v>3.2741185872125333E-5</v>
      </c>
      <c r="BU29" s="20">
        <v>0.11504802991980935</v>
      </c>
      <c r="BV29" s="20">
        <v>4.5056004273913265E-5</v>
      </c>
      <c r="BW29" s="60"/>
      <c r="BX29" s="60"/>
      <c r="BY29" s="15"/>
      <c r="BZ29" s="18"/>
      <c r="CA29" s="18"/>
      <c r="CB29" s="18"/>
    </row>
    <row r="30" spans="1:358" s="14" customFormat="1">
      <c r="A30" s="14" t="s">
        <v>129</v>
      </c>
      <c r="B30" s="14" t="s">
        <v>49</v>
      </c>
      <c r="C30" s="14" t="s">
        <v>50</v>
      </c>
      <c r="D30" s="14">
        <v>23.5</v>
      </c>
      <c r="E30" s="16">
        <v>0.92688532439549909</v>
      </c>
      <c r="F30" s="18">
        <v>0.27786336642524267</v>
      </c>
      <c r="G30" s="19">
        <v>41.236715145456373</v>
      </c>
      <c r="H30" s="19">
        <v>43.824551034689733</v>
      </c>
      <c r="I30" s="19">
        <v>14.938733819853889</v>
      </c>
      <c r="Q30" s="16">
        <v>4.2515000000000001</v>
      </c>
      <c r="R30" s="16">
        <v>2.1213203435597231E-3</v>
      </c>
      <c r="S30" s="16">
        <v>0</v>
      </c>
      <c r="T30" s="16">
        <v>2.1071782079359119E-3</v>
      </c>
      <c r="AA30" s="15">
        <v>2.7955859642277155E-2</v>
      </c>
      <c r="AB30" s="15">
        <v>1.5137557614525012E-3</v>
      </c>
      <c r="AC30" s="15">
        <v>0.13276449609314456</v>
      </c>
      <c r="AD30" s="15">
        <v>6.1682576115558909E-3</v>
      </c>
      <c r="AE30" s="20">
        <v>3.419000444517295E-2</v>
      </c>
      <c r="AF30" s="20">
        <v>4.5555866794792972E-4</v>
      </c>
      <c r="AG30" s="20">
        <v>6.4618272058189985E-2</v>
      </c>
      <c r="AH30" s="20">
        <v>1.4229068586375491E-3</v>
      </c>
      <c r="AI30" s="20">
        <v>4.1300614315429182E-2</v>
      </c>
      <c r="AJ30" s="20">
        <v>4.3644167098116002E-5</v>
      </c>
      <c r="AK30" s="20">
        <v>4.8379684783197464E-3</v>
      </c>
      <c r="AL30" s="20">
        <v>6.0873742134303865E-5</v>
      </c>
      <c r="AM30" s="20">
        <v>0.14505457029402177</v>
      </c>
      <c r="AN30" s="20">
        <v>1.0784814586683988E-4</v>
      </c>
      <c r="AO30" s="20">
        <v>8.3904835369475572E-2</v>
      </c>
      <c r="AP30" s="20">
        <v>3.7260641341626231E-3</v>
      </c>
      <c r="AQ30" s="20">
        <v>8.98024869220828E-3</v>
      </c>
      <c r="AR30" s="20">
        <v>7.3824845757600698E-4</v>
      </c>
      <c r="AS30" s="20">
        <v>2.4787685608501583E-2</v>
      </c>
      <c r="AT30" s="20">
        <v>1.9200092059355639E-4</v>
      </c>
      <c r="AU30" s="20">
        <v>4.3702178567863577E-2</v>
      </c>
      <c r="AV30" s="20">
        <v>4.8830735234432498E-5</v>
      </c>
      <c r="AW30" s="20">
        <v>3.77252566721831E-2</v>
      </c>
      <c r="AX30" s="20">
        <v>2.9544030759510098E-4</v>
      </c>
      <c r="AY30" s="20">
        <v>1.432956981138964E-2</v>
      </c>
      <c r="AZ30" s="20">
        <v>1.3622393103834816E-4</v>
      </c>
      <c r="BA30" s="20">
        <v>6.4140230714569884E-3</v>
      </c>
      <c r="BB30" s="20">
        <v>1.032522079597278E-5</v>
      </c>
      <c r="BC30" s="20">
        <v>0.13364381535678255</v>
      </c>
      <c r="BD30" s="20">
        <v>3.6994408831431613E-4</v>
      </c>
      <c r="BE30" s="20">
        <v>0.23434934758859918</v>
      </c>
      <c r="BF30" s="20">
        <v>4.3989190990158559E-5</v>
      </c>
      <c r="BG30" s="20">
        <v>2.294432850773244E-6</v>
      </c>
      <c r="BH30" s="67">
        <v>2.1116536902789004E-9</v>
      </c>
      <c r="BI30" s="20">
        <v>1.2814462255388615E-2</v>
      </c>
      <c r="BJ30" s="20">
        <v>9.5869673105585412E-6</v>
      </c>
      <c r="BK30" s="20">
        <v>6.2151993080665741E-2</v>
      </c>
      <c r="BL30" s="20">
        <v>9.3651682349923663E-5</v>
      </c>
      <c r="BM30" s="20">
        <v>2.7112076604745333E-2</v>
      </c>
      <c r="BN30" s="20">
        <v>7.7759265227417203E-6</v>
      </c>
      <c r="BO30" s="20" t="s">
        <v>134</v>
      </c>
      <c r="BP30" s="20" t="s">
        <v>135</v>
      </c>
      <c r="BQ30" s="20">
        <v>3.9816317969943171E-3</v>
      </c>
      <c r="BR30" s="20">
        <v>5.4790856125680344E-6</v>
      </c>
      <c r="BS30" s="20">
        <v>2.7857679299062924E-2</v>
      </c>
      <c r="BT30" s="20">
        <v>8.5266033184826284E-2</v>
      </c>
      <c r="BU30" s="20">
        <v>0.12169825055042274</v>
      </c>
      <c r="BV30" s="20">
        <v>2.6108984117099662E-2</v>
      </c>
      <c r="BW30" s="60"/>
      <c r="BX30" s="60"/>
      <c r="BY30" s="15"/>
      <c r="BZ30" s="18"/>
      <c r="CA30" s="18"/>
      <c r="CB30" s="18"/>
    </row>
    <row r="31" spans="1:358" s="14" customFormat="1">
      <c r="A31" s="14" t="s">
        <v>129</v>
      </c>
      <c r="B31" s="14" t="s">
        <v>51</v>
      </c>
      <c r="C31" s="14" t="s">
        <v>52</v>
      </c>
      <c r="D31" s="14">
        <v>36</v>
      </c>
      <c r="E31" s="16">
        <v>0.40726994624018714</v>
      </c>
      <c r="F31" s="18">
        <v>0.15463589154385637</v>
      </c>
      <c r="G31" s="18"/>
      <c r="H31" s="18"/>
      <c r="I31" s="18"/>
      <c r="J31" s="16">
        <v>1.1511761593860965</v>
      </c>
      <c r="K31" s="16">
        <v>4.4588651983503095E-3</v>
      </c>
      <c r="L31" s="16">
        <v>0.13264019004586391</v>
      </c>
      <c r="M31" s="16">
        <v>8.5667933687439345E-4</v>
      </c>
      <c r="N31" s="16">
        <v>-25.803745900000003</v>
      </c>
      <c r="O31" s="16">
        <v>7.7638486096652887E-2</v>
      </c>
      <c r="P31" s="21">
        <f>J31/L31</f>
        <v>8.6789393093303495</v>
      </c>
      <c r="Q31" s="16">
        <v>1.4258149999999998</v>
      </c>
      <c r="R31" s="16">
        <v>2.1921707278403237E-2</v>
      </c>
      <c r="S31" s="16">
        <v>6.8500000000000006E-4</v>
      </c>
      <c r="T31" s="16">
        <v>2.4748737341529159E-4</v>
      </c>
      <c r="U31" s="15">
        <v>0.72412989393665161</v>
      </c>
      <c r="V31" s="15">
        <v>1.0401375655061296E-3</v>
      </c>
      <c r="W31" s="21">
        <v>-281.71510797968944</v>
      </c>
      <c r="X31" s="21">
        <v>1.0401375655061296</v>
      </c>
      <c r="Y31" s="19">
        <v>2595</v>
      </c>
      <c r="Z31" s="14">
        <v>15</v>
      </c>
      <c r="AA31" s="15">
        <v>1.4247231383428042E-2</v>
      </c>
      <c r="AB31" s="15">
        <v>2.2556957733754906E-4</v>
      </c>
      <c r="AC31" s="15">
        <v>4.5437511799877393E-2</v>
      </c>
      <c r="AD31" s="15">
        <v>1.1130238558491813E-3</v>
      </c>
      <c r="AE31" s="20">
        <v>3.6689400663578155E-2</v>
      </c>
      <c r="AF31" s="20">
        <v>5.5876285705158668E-4</v>
      </c>
      <c r="AG31" s="20">
        <v>4.882476996231247E-2</v>
      </c>
      <c r="AH31" s="20">
        <v>7.8129935455985484E-4</v>
      </c>
      <c r="AI31" s="20">
        <v>3.6363112624225459E-2</v>
      </c>
      <c r="AJ31" s="20">
        <v>7.2016099647639528E-4</v>
      </c>
      <c r="AK31" s="20">
        <v>3.5221317863488237E-3</v>
      </c>
      <c r="AL31" s="20">
        <v>9.7791826704207789E-5</v>
      </c>
      <c r="AM31" s="20">
        <v>0.10548743170496959</v>
      </c>
      <c r="AN31" s="20">
        <v>1.9607977244734533E-3</v>
      </c>
      <c r="AO31" s="20">
        <v>7.0777196434714362E-2</v>
      </c>
      <c r="AP31" s="20">
        <v>2.0505220570260006E-3</v>
      </c>
      <c r="AQ31" s="20">
        <v>1.1949863557955995E-2</v>
      </c>
      <c r="AR31" s="20">
        <v>9.6404638821137709E-4</v>
      </c>
      <c r="AS31" s="20">
        <v>1.8934994946358027E-2</v>
      </c>
      <c r="AT31" s="20">
        <v>2.2699633096600617E-5</v>
      </c>
      <c r="AU31" s="20">
        <v>4.2988966525966711E-2</v>
      </c>
      <c r="AV31" s="20">
        <v>1.8514006890414547E-4</v>
      </c>
      <c r="AW31" s="20">
        <v>3.7102428076393364E-2</v>
      </c>
      <c r="AX31" s="20">
        <v>1.9116256474011636E-5</v>
      </c>
      <c r="AY31" s="20">
        <v>2.0792837048942657E-2</v>
      </c>
      <c r="AZ31" s="20">
        <v>3.849754427757068E-5</v>
      </c>
      <c r="BA31" s="20">
        <v>5.2734418724176167E-3</v>
      </c>
      <c r="BB31" s="20">
        <v>9.1424615813051534E-6</v>
      </c>
      <c r="BC31" s="20">
        <v>7.0281523647756985E-2</v>
      </c>
      <c r="BD31" s="20">
        <v>9.1598998694778866E-5</v>
      </c>
      <c r="BE31" s="20">
        <v>0.21356369708509276</v>
      </c>
      <c r="BF31" s="20">
        <v>8.8498672626544897E-4</v>
      </c>
      <c r="BG31" s="20">
        <v>1.5127671716154101E-6</v>
      </c>
      <c r="BH31" s="67">
        <v>1.751071733801221E-8</v>
      </c>
      <c r="BI31" s="20">
        <v>1.9651612400112092E-2</v>
      </c>
      <c r="BJ31" s="20">
        <v>1.9534327057951271E-5</v>
      </c>
      <c r="BK31" s="20">
        <v>6.2163783756758628E-2</v>
      </c>
      <c r="BL31" s="20">
        <v>2.9532467556310868E-4</v>
      </c>
      <c r="BM31" s="20">
        <v>3.7304218521347729E-2</v>
      </c>
      <c r="BN31" s="20">
        <v>3.3243694168574605E-5</v>
      </c>
      <c r="BO31" s="20" t="s">
        <v>134</v>
      </c>
      <c r="BP31" s="20" t="s">
        <v>135</v>
      </c>
      <c r="BQ31" s="20">
        <v>3.3939267069533138E-3</v>
      </c>
      <c r="BR31" s="20">
        <v>8.9448248735477756E-6</v>
      </c>
      <c r="BS31" s="20">
        <v>3.4647698650567792E-2</v>
      </c>
      <c r="BT31" s="20">
        <v>0.10107687356886529</v>
      </c>
      <c r="BU31" s="20">
        <v>0.10545671110330755</v>
      </c>
      <c r="BV31" s="20">
        <v>3.9254355589011206E-2</v>
      </c>
      <c r="BW31" s="18">
        <v>0.94985551348972586</v>
      </c>
      <c r="BX31" s="18">
        <v>4.3723827988170733E-2</v>
      </c>
      <c r="BY31" s="15">
        <v>4.8898430060916329E-3</v>
      </c>
      <c r="BZ31" s="18">
        <v>0.14235845513643808</v>
      </c>
      <c r="CA31" s="18">
        <v>7.3125843182252154E-2</v>
      </c>
      <c r="CB31" s="18">
        <v>1.9183114553622548E-2</v>
      </c>
      <c r="CC31" s="15">
        <v>5.8006794104760041E-2</v>
      </c>
      <c r="CD31" s="16">
        <v>2.5583415236937537</v>
      </c>
      <c r="CE31" s="16">
        <v>5.4708234595109761</v>
      </c>
      <c r="CF31" s="21">
        <v>-71.052545762581801</v>
      </c>
      <c r="CG31" s="21">
        <v>2</v>
      </c>
      <c r="CH31" s="21">
        <v>-34.673018717004567</v>
      </c>
      <c r="CI31" s="21">
        <v>3.2</v>
      </c>
      <c r="CJ31" s="21">
        <v>-385.6739625945882</v>
      </c>
      <c r="CK31" s="21">
        <v>1.6</v>
      </c>
      <c r="CL31" s="15">
        <v>0.9366199999999999</v>
      </c>
      <c r="CM31" s="15">
        <v>2E-3</v>
      </c>
      <c r="CN31" s="15">
        <v>0.97329999999999994</v>
      </c>
      <c r="CO31" s="15">
        <v>3.2000000000000002E-3</v>
      </c>
      <c r="CP31" s="15">
        <v>0.61939999999999995</v>
      </c>
      <c r="CQ31" s="15">
        <v>1.6000000000000001E-3</v>
      </c>
      <c r="CR31" s="19">
        <v>525</v>
      </c>
      <c r="CS31" s="19">
        <v>20</v>
      </c>
      <c r="CT31" s="19">
        <v>215</v>
      </c>
      <c r="CU31" s="19">
        <v>30</v>
      </c>
      <c r="CV31" s="19">
        <v>3850</v>
      </c>
      <c r="CW31" s="19">
        <v>25</v>
      </c>
      <c r="CX31" s="20">
        <v>3.4195511657644182E-10</v>
      </c>
      <c r="CY31" s="20">
        <v>2.3007989149861441E-10</v>
      </c>
      <c r="CZ31" s="20">
        <v>5.9476237662741E-9</v>
      </c>
      <c r="DA31" s="20">
        <v>3.0097024853505691E-8</v>
      </c>
      <c r="DB31" s="20">
        <v>9.6815182913102346E-7</v>
      </c>
      <c r="DC31" s="20">
        <v>9.0061429549250745E-9</v>
      </c>
      <c r="DD31" s="20">
        <v>9.1936759762404698E-9</v>
      </c>
      <c r="DE31" s="20">
        <v>1.1117002902858164E-9</v>
      </c>
      <c r="DF31" s="20">
        <v>3.8821982917394672E-7</v>
      </c>
      <c r="DG31" s="20">
        <v>1.3066754228566596E-8</v>
      </c>
      <c r="DH31" s="20">
        <v>1.1320949746156676E-7</v>
      </c>
      <c r="DI31" s="20">
        <v>3.5936776223505959E-9</v>
      </c>
      <c r="DJ31" s="20">
        <v>1.3785428909932597E-10</v>
      </c>
      <c r="DK31" s="20">
        <v>3.5732466804332414E-12</v>
      </c>
      <c r="DL31" s="20" t="s">
        <v>134</v>
      </c>
      <c r="DM31" s="20" t="s">
        <v>134</v>
      </c>
      <c r="DN31" s="20">
        <v>2.5144886454285029E-8</v>
      </c>
      <c r="DO31" s="20">
        <v>3.0929372695737829E-10</v>
      </c>
      <c r="DP31" s="20">
        <v>4.2706538356468867E-6</v>
      </c>
      <c r="DQ31" s="20">
        <v>2.7986365871052446E-8</v>
      </c>
      <c r="DR31" s="20">
        <v>1.5665604232082765E-8</v>
      </c>
      <c r="DS31" s="20">
        <v>1.7173332112868062E-10</v>
      </c>
      <c r="DT31" s="20" t="s">
        <v>134</v>
      </c>
      <c r="DU31" s="20" t="s">
        <v>134</v>
      </c>
      <c r="DV31" s="20" t="s">
        <v>134</v>
      </c>
      <c r="DW31" s="20" t="s">
        <v>134</v>
      </c>
      <c r="DX31" s="20">
        <v>3.4592200385320313E-10</v>
      </c>
      <c r="DY31" s="20">
        <v>1.898674183904539E-11</v>
      </c>
      <c r="DZ31" s="20" t="s">
        <v>134</v>
      </c>
      <c r="EA31" s="20" t="s">
        <v>134</v>
      </c>
      <c r="EB31" s="20">
        <v>-1.397644446799954E-11</v>
      </c>
      <c r="EC31" s="20">
        <v>6.694261627914009E-12</v>
      </c>
      <c r="ED31" s="20">
        <v>-4.1706973735840318E-10</v>
      </c>
      <c r="EE31" s="20">
        <v>3.5794073706893861E-11</v>
      </c>
      <c r="EF31" s="20" t="s">
        <v>134</v>
      </c>
      <c r="EG31" s="20" t="s">
        <v>134</v>
      </c>
      <c r="EH31" s="20">
        <v>7.8811383903814237E-9</v>
      </c>
      <c r="EI31" s="20">
        <v>1.1111581533796825E-10</v>
      </c>
      <c r="EJ31" s="20" t="s">
        <v>134</v>
      </c>
      <c r="EK31" s="20" t="s">
        <v>134</v>
      </c>
      <c r="EL31" s="20">
        <v>1.0214332640388155E-9</v>
      </c>
      <c r="EM31" s="20">
        <v>1.2861475185417132E-11</v>
      </c>
      <c r="EN31" s="20" t="s">
        <v>134</v>
      </c>
      <c r="EO31" s="20" t="s">
        <v>134</v>
      </c>
      <c r="EP31" s="20" t="s">
        <v>134</v>
      </c>
      <c r="EQ31" s="20" t="s">
        <v>134</v>
      </c>
      <c r="ER31" s="20" t="s">
        <v>134</v>
      </c>
      <c r="ES31" s="20" t="s">
        <v>134</v>
      </c>
      <c r="ET31" s="20" t="s">
        <v>134</v>
      </c>
      <c r="EU31" s="20" t="s">
        <v>134</v>
      </c>
      <c r="EV31" s="20" t="s">
        <v>134</v>
      </c>
      <c r="EW31" s="20" t="s">
        <v>134</v>
      </c>
      <c r="EX31" s="20">
        <v>2.3930937218891342E-9</v>
      </c>
      <c r="EY31" s="20">
        <v>2.2076994933870022E-11</v>
      </c>
      <c r="EZ31" s="20" t="s">
        <v>134</v>
      </c>
      <c r="FA31" s="20" t="s">
        <v>134</v>
      </c>
      <c r="FB31" s="20">
        <v>-6.2662791852515729E-11</v>
      </c>
      <c r="FC31" s="20">
        <v>1.5792191535973973E-12</v>
      </c>
      <c r="FD31" s="20" t="s">
        <v>134</v>
      </c>
      <c r="FE31" s="20" t="s">
        <v>134</v>
      </c>
      <c r="FF31" s="20" t="s">
        <v>134</v>
      </c>
      <c r="FG31" s="20" t="s">
        <v>134</v>
      </c>
      <c r="FH31" s="20">
        <v>1.2352537820945075E-8</v>
      </c>
      <c r="FI31" s="20">
        <v>9.2495970138802611E-10</v>
      </c>
      <c r="FJ31" s="20">
        <v>2.7008669512832782E-10</v>
      </c>
      <c r="FK31" s="20">
        <v>1.1962262170887773E-11</v>
      </c>
      <c r="FL31" s="20">
        <v>9.9256219448714015E-4</v>
      </c>
      <c r="FM31" s="20">
        <v>2.6768744507724072E-5</v>
      </c>
      <c r="FN31" s="20">
        <v>0.40528125433168311</v>
      </c>
      <c r="FO31" s="20">
        <v>3.8031919861139254E-3</v>
      </c>
      <c r="FP31" s="20">
        <v>0.19823742719415899</v>
      </c>
      <c r="FQ31" s="20">
        <v>1.8415491480172875E-3</v>
      </c>
      <c r="FR31" s="20">
        <v>1.1341781311819914E-2</v>
      </c>
      <c r="FS31" s="20">
        <v>1.1082063726361873E-4</v>
      </c>
      <c r="FT31" s="20">
        <v>0.18348218197410715</v>
      </c>
      <c r="FU31" s="20">
        <v>2.1844053120877922E-3</v>
      </c>
      <c r="FV31" s="20">
        <v>3.2975318421580413E-2</v>
      </c>
      <c r="FW31" s="20">
        <v>7.1605444737012384E-4</v>
      </c>
      <c r="FX31" s="20">
        <v>2.8191966271226059E-5</v>
      </c>
      <c r="FY31" s="20">
        <v>7.3074875327935642E-7</v>
      </c>
      <c r="FZ31" s="20" t="s">
        <v>134</v>
      </c>
      <c r="GA31" s="20" t="s">
        <v>134</v>
      </c>
      <c r="GB31" s="20">
        <v>5.1422686624008618E-3</v>
      </c>
      <c r="GC31" s="20">
        <v>6.3252281631960073E-5</v>
      </c>
      <c r="GD31" s="20">
        <v>0.87624091499738277</v>
      </c>
      <c r="GE31" s="20">
        <v>5.7228742226177465E-3</v>
      </c>
      <c r="GF31" s="20">
        <v>3.2037029026426786E-3</v>
      </c>
      <c r="GG31" s="20">
        <v>3.5120416118623834E-5</v>
      </c>
      <c r="GH31" s="20" t="s">
        <v>134</v>
      </c>
      <c r="GI31" s="20" t="s">
        <v>134</v>
      </c>
      <c r="GJ31" s="20" t="s">
        <v>134</v>
      </c>
      <c r="GK31" s="20" t="s">
        <v>134</v>
      </c>
      <c r="GL31" s="20">
        <v>7.0742967294095714E-5</v>
      </c>
      <c r="GM31" s="20">
        <v>3.8828939529126439E-6</v>
      </c>
      <c r="GN31" s="20" t="s">
        <v>134</v>
      </c>
      <c r="GO31" s="20" t="s">
        <v>134</v>
      </c>
      <c r="GP31" s="20">
        <v>5.9356386903745945E-5</v>
      </c>
      <c r="GQ31" s="20">
        <v>1.1870057208328604E-6</v>
      </c>
      <c r="GR31" s="20">
        <v>6.1531630539495119E-5</v>
      </c>
      <c r="GS31" s="20">
        <v>5.3136455013775997E-6</v>
      </c>
      <c r="GT31" s="20" t="s">
        <v>134</v>
      </c>
      <c r="GU31" s="20" t="s">
        <v>134</v>
      </c>
      <c r="GV31" s="20">
        <v>1.6117364873602929E-3</v>
      </c>
      <c r="GW31" s="20">
        <v>2.2723800170995919E-5</v>
      </c>
      <c r="GX31" s="20" t="s">
        <v>134</v>
      </c>
      <c r="GY31" s="20" t="s">
        <v>134</v>
      </c>
      <c r="GZ31" s="20">
        <v>2.0888876447901127E-4</v>
      </c>
      <c r="HA31" s="20">
        <v>2.6302429688222418E-6</v>
      </c>
      <c r="HB31" s="20" t="s">
        <v>134</v>
      </c>
      <c r="HC31" s="20" t="s">
        <v>134</v>
      </c>
      <c r="HD31" s="20" t="s">
        <v>134</v>
      </c>
      <c r="HE31" s="20" t="s">
        <v>134</v>
      </c>
      <c r="HF31" s="20" t="s">
        <v>134</v>
      </c>
      <c r="HG31" s="20" t="s">
        <v>134</v>
      </c>
      <c r="HH31" s="20" t="s">
        <v>134</v>
      </c>
      <c r="HI31" s="20" t="s">
        <v>134</v>
      </c>
      <c r="HJ31" s="20" t="s">
        <v>134</v>
      </c>
      <c r="HK31" s="20" t="s">
        <v>134</v>
      </c>
      <c r="HL31" s="20">
        <v>5.3464318095787348E-4</v>
      </c>
      <c r="HM31" s="20">
        <v>4.4466884061727301E-6</v>
      </c>
      <c r="HN31" s="20" t="s">
        <v>134</v>
      </c>
      <c r="HO31" s="20" t="s">
        <v>134</v>
      </c>
      <c r="HP31" s="20">
        <v>5.6902586174321305E-6</v>
      </c>
      <c r="HQ31" s="20">
        <v>1.8930529812617989E-7</v>
      </c>
      <c r="HR31" s="20" t="s">
        <v>134</v>
      </c>
      <c r="HS31" s="20" t="s">
        <v>134</v>
      </c>
      <c r="HT31" s="20" t="s">
        <v>134</v>
      </c>
      <c r="HU31" s="20" t="s">
        <v>134</v>
      </c>
      <c r="HV31" s="20">
        <v>5.0506173053980153E-3</v>
      </c>
      <c r="HW31" s="20">
        <v>1.4946811232594324E-4</v>
      </c>
      <c r="HX31" s="20">
        <v>5.5234226291490578E-5</v>
      </c>
      <c r="HY31" s="20">
        <v>2.4463489228561148E-6</v>
      </c>
      <c r="HZ31" s="20" t="s">
        <v>134</v>
      </c>
      <c r="IA31" s="20" t="s">
        <v>134</v>
      </c>
      <c r="IB31" s="20">
        <v>1.0043255032964185</v>
      </c>
      <c r="IC31" s="20">
        <v>1.8542327307331023E-2</v>
      </c>
      <c r="ID31" s="20">
        <v>85.404121634906843</v>
      </c>
      <c r="IE31" s="20">
        <v>1.3931040291637689</v>
      </c>
      <c r="IF31" s="20">
        <v>0.13995262876843922</v>
      </c>
      <c r="IG31" s="20">
        <v>1.3768238705809014E-2</v>
      </c>
      <c r="IH31" s="20">
        <v>0.23699830964847002</v>
      </c>
      <c r="II31" s="20">
        <v>2.3784333660484172E-2</v>
      </c>
      <c r="IJ31" s="20">
        <v>0.41421660131075011</v>
      </c>
      <c r="IK31" s="20">
        <v>6.2308061010490898E-2</v>
      </c>
      <c r="IL31" s="20">
        <v>8.135340466050707E-2</v>
      </c>
      <c r="IM31" s="20">
        <v>1.5971277453731784E-2</v>
      </c>
      <c r="IN31" s="20">
        <v>4.5335857728399905E-3</v>
      </c>
      <c r="IO31" s="20">
        <v>1.1968273607848177E-3</v>
      </c>
      <c r="IP31" s="20">
        <v>3.2666905843981991E-2</v>
      </c>
      <c r="IQ31" s="20">
        <v>1.4199452610521596E-3</v>
      </c>
      <c r="IR31" s="20">
        <v>2.7698416538856439E-2</v>
      </c>
      <c r="IS31" s="20">
        <v>1.4760385414013973E-3</v>
      </c>
      <c r="IT31" s="20">
        <v>0.27574500276632574</v>
      </c>
      <c r="IU31" s="20">
        <v>2.7550100705524674E-2</v>
      </c>
      <c r="IV31" s="20">
        <v>0.81501159200358364</v>
      </c>
      <c r="IW31" s="20">
        <v>8.0068236617707126E-3</v>
      </c>
      <c r="IX31" s="20" t="s">
        <v>134</v>
      </c>
      <c r="IY31" s="20" t="s">
        <v>134</v>
      </c>
      <c r="IZ31" s="20">
        <v>0.13573383115486468</v>
      </c>
      <c r="JA31" s="20">
        <v>4.5238338319770598E-3</v>
      </c>
      <c r="JB31" s="20">
        <v>5.1755632288339466E-2</v>
      </c>
      <c r="JC31" s="20">
        <v>2.6754514336321026E-3</v>
      </c>
      <c r="JD31" s="20">
        <v>1.1208278687380915E-3</v>
      </c>
      <c r="JE31" s="20">
        <v>1.4164793561114923E-3</v>
      </c>
      <c r="JF31" s="20">
        <v>1.7472825224706046E-2</v>
      </c>
      <c r="JG31" s="20">
        <v>1.8263988387767355E-3</v>
      </c>
      <c r="JH31" s="20">
        <v>1.1057159446967937E-2</v>
      </c>
      <c r="JI31" s="20">
        <v>4.0447879136067694E-3</v>
      </c>
      <c r="JJ31" s="20" t="s">
        <v>134</v>
      </c>
      <c r="JK31" s="20" t="s">
        <v>134</v>
      </c>
      <c r="JL31" s="20">
        <v>6.1124836781807426E-3</v>
      </c>
      <c r="JM31" s="20">
        <v>6.0450310598473569E-4</v>
      </c>
      <c r="JN31" s="20">
        <v>1.040786689625218E-2</v>
      </c>
      <c r="JO31" s="20">
        <v>9.4065999904733308E-4</v>
      </c>
      <c r="JP31" s="20">
        <v>3.3870038465504099E-2</v>
      </c>
      <c r="JQ31" s="20">
        <v>1.1365849077966835E-3</v>
      </c>
      <c r="JR31" s="20" t="s">
        <v>134</v>
      </c>
      <c r="JS31" s="20" t="s">
        <v>134</v>
      </c>
      <c r="JT31" s="20" t="s">
        <v>134</v>
      </c>
      <c r="JU31" s="20" t="s">
        <v>134</v>
      </c>
      <c r="JV31" s="20">
        <v>1.2821581719003388E-3</v>
      </c>
      <c r="JW31" s="20">
        <v>1.1998808535826413E-4</v>
      </c>
      <c r="JX31" s="20">
        <v>4.5635614195091694E-3</v>
      </c>
      <c r="JY31" s="20">
        <v>7.3251098331105044E-4</v>
      </c>
      <c r="JZ31" s="20" t="s">
        <v>134</v>
      </c>
      <c r="KA31" s="20" t="s">
        <v>134</v>
      </c>
      <c r="KB31" s="20">
        <v>8.0270738813102427E-2</v>
      </c>
      <c r="KC31" s="20">
        <v>1.0744299051858891E-3</v>
      </c>
      <c r="KD31" s="20">
        <v>1.6974670799325411E-4</v>
      </c>
      <c r="KE31" s="20">
        <v>5.8492504172675448E-6</v>
      </c>
      <c r="KF31" s="20">
        <v>1.4195671511123848E-2</v>
      </c>
      <c r="KG31" s="20">
        <v>1.1891968155967329E-4</v>
      </c>
      <c r="KH31" s="20" t="s">
        <v>134</v>
      </c>
      <c r="KI31" s="20" t="s">
        <v>134</v>
      </c>
      <c r="KJ31" s="20">
        <v>7.7561220662832297E-5</v>
      </c>
      <c r="KK31" s="20">
        <v>2.4883946602983115E-4</v>
      </c>
      <c r="KL31" s="20">
        <v>31.127403459250331</v>
      </c>
      <c r="KM31" s="20">
        <v>0.38109134600420358</v>
      </c>
      <c r="KN31" s="20">
        <v>9.5991466521128735E-3</v>
      </c>
      <c r="KO31" s="20">
        <v>1.4918234457523828E-4</v>
      </c>
      <c r="KP31" s="46">
        <v>9.277723245586072E-4</v>
      </c>
      <c r="KQ31" s="46">
        <v>4.1470915928357617E-3</v>
      </c>
      <c r="KR31" s="16">
        <v>0.99255922365988924</v>
      </c>
      <c r="KS31" s="16">
        <v>35.708876822136013</v>
      </c>
      <c r="KT31" s="16">
        <v>0.11433414366154546</v>
      </c>
      <c r="KU31" s="16">
        <v>36.682745146361221</v>
      </c>
      <c r="KV31" s="16">
        <v>5.4256729564379852E-2</v>
      </c>
      <c r="KW31" s="16">
        <v>0.76621181645242142</v>
      </c>
      <c r="KX31" s="16">
        <v>5.2060634829150583E-2</v>
      </c>
      <c r="KY31" s="16">
        <v>1.0342207674523405</v>
      </c>
      <c r="KZ31" s="16">
        <v>7.6542275953074756E-3</v>
      </c>
      <c r="LA31" s="16">
        <v>1.8058494764549349</v>
      </c>
      <c r="LB31" s="16">
        <v>1.5105033762862395E-2</v>
      </c>
      <c r="LC31" s="18">
        <v>0.11340592474676475</v>
      </c>
      <c r="LD31" s="18">
        <v>7.1033419104172555E-3</v>
      </c>
      <c r="LE31" s="16">
        <v>34.527325253871936</v>
      </c>
      <c r="LF31" s="16">
        <v>0.2784238840647858</v>
      </c>
      <c r="LG31" s="16">
        <v>20.313290573017834</v>
      </c>
      <c r="LH31" s="16">
        <v>0.17254653902488715</v>
      </c>
      <c r="LI31" s="16">
        <v>6.7563649620896893</v>
      </c>
      <c r="LJ31" s="16">
        <v>0.62436676412341519</v>
      </c>
      <c r="LK31" s="16">
        <v>-27.081192119999997</v>
      </c>
      <c r="LL31" s="16">
        <v>8.8533983360970792E-2</v>
      </c>
      <c r="LM31" s="16">
        <v>-26.727466364999998</v>
      </c>
      <c r="LN31" s="16">
        <v>0.11559861561903771</v>
      </c>
      <c r="LO31" s="16">
        <v>-25.877918489999999</v>
      </c>
      <c r="LP31" s="16">
        <v>0.13327414261515699</v>
      </c>
      <c r="LQ31" s="21">
        <v>7.8755557174354784</v>
      </c>
      <c r="LR31" s="21">
        <v>2.7</v>
      </c>
      <c r="LS31" s="21">
        <v>4.5034076270602519</v>
      </c>
      <c r="LT31" s="21">
        <v>3</v>
      </c>
      <c r="LU31" s="21">
        <v>-596.21502042542579</v>
      </c>
      <c r="LV31" s="21">
        <v>1</v>
      </c>
      <c r="LW31" s="50">
        <v>1.0162</v>
      </c>
      <c r="LX31" s="50">
        <v>2.7000000000000001E-3</v>
      </c>
      <c r="LY31" s="50">
        <v>1.0127999999999999</v>
      </c>
      <c r="LZ31" s="50">
        <v>3.0000000000000001E-3</v>
      </c>
      <c r="MA31" s="51">
        <v>0.40712000000000004</v>
      </c>
      <c r="MB31" s="51">
        <v>1E-3</v>
      </c>
      <c r="MC31" s="19" t="s">
        <v>307</v>
      </c>
      <c r="MD31" s="19"/>
      <c r="ME31" s="19" t="s">
        <v>307</v>
      </c>
      <c r="MF31" s="19"/>
      <c r="MG31" s="19">
        <v>7220</v>
      </c>
      <c r="MH31" s="19">
        <v>20</v>
      </c>
      <c r="MI31" s="18">
        <v>3.3129707656650104E-2</v>
      </c>
      <c r="MJ31" s="18">
        <v>1.0607605424128977E-4</v>
      </c>
      <c r="MK31" s="18">
        <v>0.15212670399861147</v>
      </c>
      <c r="ML31" s="18">
        <v>2.2500762703120319E-4</v>
      </c>
      <c r="MM31" s="18">
        <v>0.76051060569704887</v>
      </c>
      <c r="MN31" s="18">
        <v>5.1673263289262687E-2</v>
      </c>
      <c r="MO31" s="46">
        <v>9.5952140552604467E-4</v>
      </c>
      <c r="MP31" s="46">
        <v>7.1013805287990544E-6</v>
      </c>
      <c r="MQ31" s="46">
        <v>7.4890231817331208E-3</v>
      </c>
      <c r="MR31" s="46">
        <v>6.2641958527466965E-5</v>
      </c>
      <c r="MS31" s="18">
        <v>0.11256209662508064</v>
      </c>
      <c r="MT31" s="18">
        <v>7.050487531994506E-3</v>
      </c>
    </row>
    <row r="32" spans="1:358" s="14" customFormat="1">
      <c r="A32" s="14" t="s">
        <v>129</v>
      </c>
      <c r="B32" s="14" t="s">
        <v>53</v>
      </c>
      <c r="C32" s="14" t="s">
        <v>54</v>
      </c>
      <c r="D32" s="14">
        <v>75</v>
      </c>
      <c r="E32" s="16">
        <v>0.14337653593671099</v>
      </c>
      <c r="F32" s="18">
        <v>0.19615218745507684</v>
      </c>
      <c r="G32" s="19">
        <v>68.450576606786356</v>
      </c>
      <c r="H32" s="19">
        <v>23.630134930139818</v>
      </c>
      <c r="I32" s="19">
        <v>7.9192884630738325</v>
      </c>
      <c r="Q32" s="16">
        <v>1.754</v>
      </c>
      <c r="R32" s="16">
        <v>7.0710678118653244E-3</v>
      </c>
      <c r="S32" s="16">
        <v>0</v>
      </c>
      <c r="T32" s="16">
        <v>1.1455129855222068E-3</v>
      </c>
      <c r="AA32" s="15">
        <v>1.3550873113093151E-2</v>
      </c>
      <c r="AB32" s="15">
        <v>1.3484871118892345E-4</v>
      </c>
      <c r="AC32" s="15">
        <v>5.2888698316408383E-2</v>
      </c>
      <c r="AD32" s="15">
        <v>2.7187619800054395E-5</v>
      </c>
      <c r="AE32" s="20">
        <v>1.6863775406118171E-2</v>
      </c>
      <c r="AF32" s="20">
        <v>1.9563051170028444E-2</v>
      </c>
      <c r="AG32" s="20">
        <v>2.8020237921839584E-2</v>
      </c>
      <c r="AH32" s="20">
        <v>3.235510974369088E-2</v>
      </c>
      <c r="AI32" s="20">
        <v>1.932462494532777E-2</v>
      </c>
      <c r="AJ32" s="20">
        <v>2.5701735723910348E-2</v>
      </c>
      <c r="AK32" s="20">
        <v>2.6117928234666225E-3</v>
      </c>
      <c r="AL32" s="20">
        <v>2.9402409756698411E-3</v>
      </c>
      <c r="AM32" s="20">
        <v>6.9019751288783793E-2</v>
      </c>
      <c r="AN32" s="20">
        <v>8.2449040355913467E-2</v>
      </c>
      <c r="AO32" s="20">
        <v>3.699331641011739E-2</v>
      </c>
      <c r="AP32" s="20">
        <v>4.2360799650248804E-2</v>
      </c>
      <c r="AQ32" s="20">
        <v>5.5087885105583583E-3</v>
      </c>
      <c r="AR32" s="20">
        <v>6.8760072862312661E-3</v>
      </c>
      <c r="AS32" s="20">
        <v>1.8321384841666104E-2</v>
      </c>
      <c r="AT32" s="20">
        <v>1.4781193341313836E-5</v>
      </c>
      <c r="AU32" s="20">
        <v>4.4034248078292954E-2</v>
      </c>
      <c r="AV32" s="20">
        <v>1.3449664687041461E-4</v>
      </c>
      <c r="AW32" s="20">
        <v>3.7170591073619696E-2</v>
      </c>
      <c r="AX32" s="20">
        <v>5.7967876526789535E-5</v>
      </c>
      <c r="AY32" s="20">
        <v>2.0529865890701673E-2</v>
      </c>
      <c r="AZ32" s="20">
        <v>8.3212535793659157E-5</v>
      </c>
      <c r="BA32" s="20">
        <v>6.50159854861439E-3</v>
      </c>
      <c r="BB32" s="20">
        <v>1.3917219211462177E-5</v>
      </c>
      <c r="BC32" s="20">
        <v>7.3551791787251478E-2</v>
      </c>
      <c r="BD32" s="20">
        <v>2.8844471694290734E-4</v>
      </c>
      <c r="BE32" s="20">
        <v>0.21947836612374405</v>
      </c>
      <c r="BF32" s="20">
        <v>7.8811103690811716E-4</v>
      </c>
      <c r="BG32" s="20">
        <v>1.5269410979302133E-6</v>
      </c>
      <c r="BH32" s="67">
        <v>1.8004074553560768E-8</v>
      </c>
      <c r="BI32" s="20">
        <v>1.6043529792003311E-2</v>
      </c>
      <c r="BJ32" s="20">
        <v>1.2382495256304721E-5</v>
      </c>
      <c r="BK32" s="20">
        <v>6.6032328763075104E-2</v>
      </c>
      <c r="BL32" s="20">
        <v>4.5327334340966065E-4</v>
      </c>
      <c r="BM32" s="20">
        <v>3.8268457351091918E-2</v>
      </c>
      <c r="BN32" s="20">
        <v>1.7115106891414846E-5</v>
      </c>
      <c r="BO32" s="20" t="s">
        <v>134</v>
      </c>
      <c r="BP32" s="20" t="s">
        <v>135</v>
      </c>
      <c r="BQ32" s="20">
        <v>4.0683281648042522E-3</v>
      </c>
      <c r="BR32" s="20">
        <v>1.0802961102271571E-5</v>
      </c>
      <c r="BS32" s="20">
        <v>2.5607694870108783E-3</v>
      </c>
      <c r="BT32" s="20">
        <v>1.3570922939133676E-4</v>
      </c>
      <c r="BU32" s="20">
        <v>8.9500119949621496E-2</v>
      </c>
      <c r="BV32" s="20">
        <v>2.1230810851955418E-3</v>
      </c>
      <c r="BW32" s="60"/>
      <c r="BX32" s="60"/>
      <c r="BY32" s="15"/>
      <c r="BZ32" s="18"/>
      <c r="CA32" s="18"/>
      <c r="CB32" s="18"/>
      <c r="KR32" s="16"/>
    </row>
    <row r="33" spans="1:358" s="14" customFormat="1">
      <c r="A33" s="14" t="s">
        <v>129</v>
      </c>
      <c r="B33" s="14" t="s">
        <v>55</v>
      </c>
      <c r="C33" s="14" t="s">
        <v>56</v>
      </c>
      <c r="D33" s="14">
        <v>82.5</v>
      </c>
      <c r="E33" s="16">
        <v>0.11716338247598164</v>
      </c>
      <c r="F33" s="18">
        <v>0.23534982106182289</v>
      </c>
      <c r="G33" s="19">
        <v>76.311081417624436</v>
      </c>
      <c r="H33" s="19">
        <v>17.399542624521217</v>
      </c>
      <c r="I33" s="19">
        <v>6.2893759578543529</v>
      </c>
      <c r="P33" s="16"/>
      <c r="Q33" s="16">
        <v>1.1611500000000001</v>
      </c>
      <c r="R33" s="16">
        <v>2E-3</v>
      </c>
      <c r="S33" s="16">
        <v>1.8849999999999999E-2</v>
      </c>
      <c r="T33" s="16">
        <v>1.4142135623730939E-3</v>
      </c>
      <c r="U33" s="15">
        <v>0.47363819325165701</v>
      </c>
      <c r="V33" s="15">
        <v>1.7184674378463328E-3</v>
      </c>
      <c r="W33" s="21">
        <v>-530.18490005023398</v>
      </c>
      <c r="X33" s="21">
        <v>1.7184674378463327</v>
      </c>
      <c r="Y33" s="14">
        <v>6005</v>
      </c>
      <c r="Z33" s="14">
        <v>30</v>
      </c>
      <c r="AA33" s="15">
        <v>1.0662212281141639E-2</v>
      </c>
      <c r="AB33" s="15">
        <v>5.7513827924469073E-4</v>
      </c>
      <c r="AC33" s="15">
        <v>3.6741724730935212E-2</v>
      </c>
      <c r="AD33" s="15">
        <v>5.1426898781477249E-4</v>
      </c>
      <c r="AE33" s="20">
        <v>2.8867959831809779E-2</v>
      </c>
      <c r="AF33" s="20">
        <v>1.7861803869520037E-3</v>
      </c>
      <c r="AG33" s="20">
        <v>4.4901624606612199E-2</v>
      </c>
      <c r="AH33" s="20">
        <v>1.825293112312704E-3</v>
      </c>
      <c r="AI33" s="20">
        <v>3.5296757196570189E-2</v>
      </c>
      <c r="AJ33" s="20">
        <v>8.0114825310264464E-4</v>
      </c>
      <c r="AK33" s="20">
        <v>6.494143473400495E-3</v>
      </c>
      <c r="AL33" s="20">
        <v>5.4106587663262941E-4</v>
      </c>
      <c r="AM33" s="20">
        <v>9.4930764417444885E-2</v>
      </c>
      <c r="AN33" s="20">
        <v>1.2145335010107638E-3</v>
      </c>
      <c r="AO33" s="20">
        <v>6.6627060247375303E-2</v>
      </c>
      <c r="AP33" s="20">
        <v>5.1723035107070054E-4</v>
      </c>
      <c r="AQ33" s="20">
        <v>1.0412916543930738E-2</v>
      </c>
      <c r="AR33" s="20">
        <v>9.0236814190578895E-4</v>
      </c>
      <c r="AS33" s="20">
        <v>1.6977128422983174E-2</v>
      </c>
      <c r="AT33" s="20">
        <v>2.554907234936584E-5</v>
      </c>
      <c r="AU33" s="20">
        <v>4.3813646597467081E-2</v>
      </c>
      <c r="AV33" s="20">
        <v>2.7349810558676123E-5</v>
      </c>
      <c r="AW33" s="20">
        <v>3.6621550826733566E-2</v>
      </c>
      <c r="AX33" s="20">
        <v>1.1086122214451073E-4</v>
      </c>
      <c r="AY33" s="20">
        <v>2.2767636045277522E-2</v>
      </c>
      <c r="AZ33" s="20">
        <v>3.522907543080943E-5</v>
      </c>
      <c r="BA33" s="20">
        <v>8.9951211038412898E-3</v>
      </c>
      <c r="BB33" s="20">
        <v>3.6988088324870034E-5</v>
      </c>
      <c r="BC33" s="20">
        <v>6.4935659396929704E-2</v>
      </c>
      <c r="BD33" s="20">
        <v>3.1553034702629286E-4</v>
      </c>
      <c r="BE33" s="20">
        <v>0.22301764714729003</v>
      </c>
      <c r="BF33" s="20">
        <v>3.7356356890254664E-4</v>
      </c>
      <c r="BG33" s="20">
        <v>1.4609710938910629E-6</v>
      </c>
      <c r="BH33" s="67">
        <v>1.2653712578424029E-8</v>
      </c>
      <c r="BI33" s="20">
        <v>1.6052216258910179E-2</v>
      </c>
      <c r="BJ33" s="20">
        <v>1.3131772629707115E-6</v>
      </c>
      <c r="BK33" s="20">
        <v>6.452580668709812E-2</v>
      </c>
      <c r="BL33" s="20">
        <v>2.6351580703552177E-4</v>
      </c>
      <c r="BM33" s="20">
        <v>3.1720436815028799E-2</v>
      </c>
      <c r="BN33" s="20">
        <v>1.5214535820188305E-4</v>
      </c>
      <c r="BO33" s="20" t="s">
        <v>134</v>
      </c>
      <c r="BP33" s="20" t="s">
        <v>135</v>
      </c>
      <c r="BQ33" s="20">
        <v>5.4209580381036826E-3</v>
      </c>
      <c r="BR33" s="20">
        <v>3.204972785755128E-5</v>
      </c>
      <c r="BS33" s="20">
        <v>2.8215987871194723E-3</v>
      </c>
      <c r="BT33" s="20">
        <v>1.177037715304574E-4</v>
      </c>
      <c r="BU33" s="20">
        <v>7.6594612407493351E-2</v>
      </c>
      <c r="BV33" s="20">
        <v>1.9118407961102107E-4</v>
      </c>
      <c r="BW33" s="60"/>
      <c r="BX33" s="60"/>
      <c r="BY33" s="15"/>
      <c r="BZ33" s="18"/>
      <c r="CA33" s="18"/>
      <c r="CB33" s="18"/>
      <c r="KR33" s="16"/>
    </row>
    <row r="34" spans="1:358" s="14" customFormat="1">
      <c r="A34" s="14" t="s">
        <v>129</v>
      </c>
      <c r="B34" s="14" t="s">
        <v>57</v>
      </c>
      <c r="C34" s="14" t="s">
        <v>58</v>
      </c>
      <c r="D34" s="14">
        <v>89</v>
      </c>
      <c r="E34" s="16">
        <v>7.4017925363540446E-2</v>
      </c>
      <c r="F34" s="18">
        <v>0.23981492349223812</v>
      </c>
      <c r="G34" s="19">
        <v>75.192321253672759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1.7449378212417724E-2</v>
      </c>
      <c r="S34" s="16">
        <v>4.6469999999999997E-2</v>
      </c>
      <c r="T34" s="16">
        <v>9.1641038841776701E-3</v>
      </c>
      <c r="AA34" s="15">
        <v>8.4573129635056241E-3</v>
      </c>
      <c r="AB34" s="15">
        <v>1.0807028069037528E-3</v>
      </c>
      <c r="AC34" s="15">
        <v>2.8871305733207696E-2</v>
      </c>
      <c r="AD34" s="15">
        <v>1.0118367301074984E-3</v>
      </c>
      <c r="AE34" s="20">
        <v>3.0467416863675819E-2</v>
      </c>
      <c r="AF34" s="20">
        <v>2.5312343294675724E-3</v>
      </c>
      <c r="AG34" s="20">
        <v>4.3805724870178732E-2</v>
      </c>
      <c r="AH34" s="20">
        <v>1.4819437352090828E-4</v>
      </c>
      <c r="AI34" s="20">
        <v>3.4476369578805274E-2</v>
      </c>
      <c r="AJ34" s="20">
        <v>1.4038247449031443E-4</v>
      </c>
      <c r="AK34" s="20">
        <v>7.3585496946500873E-3</v>
      </c>
      <c r="AL34" s="20">
        <v>3.7733677221525141E-4</v>
      </c>
      <c r="AM34" s="20">
        <v>0.1126202269743786</v>
      </c>
      <c r="AN34" s="20">
        <v>1.0396178697800438E-2</v>
      </c>
      <c r="AO34" s="20">
        <v>6.1067139104694898E-2</v>
      </c>
      <c r="AP34" s="20">
        <v>1.4715539681284836E-3</v>
      </c>
      <c r="AQ34" s="20">
        <v>1.0195061464897339E-2</v>
      </c>
      <c r="AR34" s="20">
        <v>1.4925660771456672E-4</v>
      </c>
      <c r="AS34" s="20">
        <v>1.1613250429852392E-2</v>
      </c>
      <c r="AT34" s="20">
        <v>1.0934971889071753E-4</v>
      </c>
      <c r="AU34" s="20">
        <v>2.4448731521234404E-2</v>
      </c>
      <c r="AV34" s="20">
        <v>9.993203061969999E-5</v>
      </c>
      <c r="AW34" s="20">
        <v>2.1478209614434637E-2</v>
      </c>
      <c r="AX34" s="20">
        <v>1.1170580456775723E-4</v>
      </c>
      <c r="AY34" s="20">
        <v>7.2875431950996305E-3</v>
      </c>
      <c r="AZ34" s="20">
        <v>1.8215594579433161E-5</v>
      </c>
      <c r="BA34" s="20">
        <v>1.1120528696680515E-2</v>
      </c>
      <c r="BB34" s="20">
        <v>3.9865038864333672E-5</v>
      </c>
      <c r="BC34" s="20">
        <v>6.6729462550562293E-2</v>
      </c>
      <c r="BD34" s="20">
        <v>6.0237436748569577E-4</v>
      </c>
      <c r="BE34" s="20">
        <v>0.2101123784075036</v>
      </c>
      <c r="BF34" s="20">
        <v>6.520177408919096E-6</v>
      </c>
      <c r="BG34" s="20">
        <v>1.1137685863876705E-6</v>
      </c>
      <c r="BH34" s="67">
        <v>1.4218856816014243E-9</v>
      </c>
      <c r="BI34" s="20">
        <v>1.2515016666510708E-2</v>
      </c>
      <c r="BJ34" s="20">
        <v>1.2006499779363785E-5</v>
      </c>
      <c r="BK34" s="20">
        <v>2.7141719139223763E-2</v>
      </c>
      <c r="BL34" s="20">
        <v>4.9901789674799288E-5</v>
      </c>
      <c r="BM34" s="20">
        <v>1.3209842042990949E-2</v>
      </c>
      <c r="BN34" s="20">
        <v>2.3917668162152032E-5</v>
      </c>
      <c r="BO34" s="20" t="s">
        <v>134</v>
      </c>
      <c r="BP34" s="20" t="s">
        <v>135</v>
      </c>
      <c r="BQ34" s="20">
        <v>9.1195236889660154E-3</v>
      </c>
      <c r="BR34" s="20">
        <v>5.8409391970329386E-5</v>
      </c>
      <c r="BS34" s="20">
        <v>3.1955474063920979E-3</v>
      </c>
      <c r="BT34" s="20">
        <v>2.9189201665451914E-5</v>
      </c>
      <c r="BU34" s="20">
        <v>6.7014661522620658E-2</v>
      </c>
      <c r="BV34" s="20">
        <v>2.0174671191180844E-4</v>
      </c>
      <c r="BW34" s="60"/>
      <c r="BX34" s="60"/>
      <c r="BY34" s="15"/>
      <c r="BZ34" s="18"/>
      <c r="CA34" s="18"/>
      <c r="CB34" s="18"/>
      <c r="KR34" s="16"/>
    </row>
    <row r="35" spans="1:358" s="14" customFormat="1">
      <c r="A35" s="14" t="s">
        <v>129</v>
      </c>
      <c r="B35" s="14" t="s">
        <v>59</v>
      </c>
      <c r="C35" s="14" t="s">
        <v>60</v>
      </c>
      <c r="D35" s="14">
        <v>105</v>
      </c>
      <c r="E35" s="16">
        <v>5.0183236789218585E-2</v>
      </c>
      <c r="F35" s="18">
        <v>0.29718049247570638</v>
      </c>
      <c r="G35" s="19">
        <v>62.523320044738959</v>
      </c>
      <c r="H35" s="19">
        <v>28.051598466086439</v>
      </c>
      <c r="I35" s="19">
        <v>9.4250814891746071</v>
      </c>
      <c r="J35" s="16">
        <v>0.60049203711333488</v>
      </c>
      <c r="K35" s="16">
        <v>0.14500593830848027</v>
      </c>
      <c r="L35" s="16">
        <v>7.5875346331060953E-2</v>
      </c>
      <c r="M35" s="16">
        <v>1.8381102401381619E-2</v>
      </c>
      <c r="N35" s="16">
        <v>-25.984195540000002</v>
      </c>
      <c r="O35" s="16">
        <v>3.7131449872312684E-2</v>
      </c>
      <c r="P35" s="21">
        <f>J35/L35</f>
        <v>7.9141917124602639</v>
      </c>
      <c r="Q35" s="16">
        <v>0.80839000000000005</v>
      </c>
      <c r="R35" s="16">
        <v>8.9232841487874113E-3</v>
      </c>
      <c r="S35" s="16">
        <v>3.381E-2</v>
      </c>
      <c r="T35" s="16">
        <v>4.9497474683058763E-4</v>
      </c>
      <c r="U35" s="15">
        <v>0.33671620174962291</v>
      </c>
      <c r="V35" s="15">
        <v>1.3797887422704073E-3</v>
      </c>
      <c r="W35" s="21">
        <v>-666.00169024871764</v>
      </c>
      <c r="X35" s="21">
        <v>1.3797887422704074</v>
      </c>
      <c r="Y35" s="19">
        <v>8745</v>
      </c>
      <c r="Z35" s="14">
        <v>35</v>
      </c>
      <c r="AA35" s="15">
        <v>6.7885487498792977E-3</v>
      </c>
      <c r="AB35" s="15">
        <v>4.5492532756991711E-4</v>
      </c>
      <c r="AC35" s="15">
        <v>2.6919580077806364E-2</v>
      </c>
      <c r="AD35" s="15">
        <v>4.057928501581034E-4</v>
      </c>
      <c r="AE35" s="20">
        <v>3.1211556998144502E-2</v>
      </c>
      <c r="AF35" s="20">
        <v>3.2955508131437015E-4</v>
      </c>
      <c r="AG35" s="20">
        <v>4.4454428595499099E-2</v>
      </c>
      <c r="AH35" s="20">
        <v>6.4321165692404411E-4</v>
      </c>
      <c r="AI35" s="20">
        <v>3.537177032021388E-2</v>
      </c>
      <c r="AJ35" s="20">
        <v>4.1743875817139818E-4</v>
      </c>
      <c r="AK35" s="20">
        <v>7.4553819256912325E-3</v>
      </c>
      <c r="AL35" s="20">
        <v>1.7913277534474211E-4</v>
      </c>
      <c r="AM35" s="20">
        <v>0.11184556325392209</v>
      </c>
      <c r="AN35" s="20">
        <v>2.5800653413009058E-3</v>
      </c>
      <c r="AO35" s="20">
        <v>6.2514909810993169E-2</v>
      </c>
      <c r="AP35" s="20">
        <v>3.7805724765765356E-4</v>
      </c>
      <c r="AQ35" s="20">
        <v>1.0144030775592372E-2</v>
      </c>
      <c r="AR35" s="20">
        <v>2.8602674266914481E-4</v>
      </c>
      <c r="AS35" s="20">
        <v>1.1539195442786842E-2</v>
      </c>
      <c r="AT35" s="20">
        <v>1.2180889911222339E-5</v>
      </c>
      <c r="AU35" s="20">
        <v>2.3381945018921452E-2</v>
      </c>
      <c r="AV35" s="20">
        <v>2.210303404163986E-5</v>
      </c>
      <c r="AW35" s="20">
        <v>2.0408439829740842E-2</v>
      </c>
      <c r="AX35" s="20">
        <v>3.2337849352416096E-5</v>
      </c>
      <c r="AY35" s="20">
        <v>6.3419266484819195E-3</v>
      </c>
      <c r="AZ35" s="20">
        <v>1.6471003402873691E-6</v>
      </c>
      <c r="BA35" s="20">
        <v>1.1655387379940981E-2</v>
      </c>
      <c r="BB35" s="20">
        <v>2.0568605005229858E-5</v>
      </c>
      <c r="BC35" s="20">
        <v>5.9673392834442E-2</v>
      </c>
      <c r="BD35" s="20">
        <v>5.7555127779530602E-5</v>
      </c>
      <c r="BE35" s="20">
        <v>0.2035782656987187</v>
      </c>
      <c r="BF35" s="20">
        <v>4.8143185913288416E-5</v>
      </c>
      <c r="BG35" s="20">
        <v>9.6063387716737448E-7</v>
      </c>
      <c r="BH35" s="67">
        <v>2.15497313933341E-8</v>
      </c>
      <c r="BI35" s="20">
        <v>9.9280496923861219E-3</v>
      </c>
      <c r="BJ35" s="20">
        <v>3.6802479443880868E-5</v>
      </c>
      <c r="BK35" s="20">
        <v>1.9765794422522284E-2</v>
      </c>
      <c r="BL35" s="20">
        <v>8.3548335097068275E-7</v>
      </c>
      <c r="BM35" s="20">
        <v>7.8464979955272882E-3</v>
      </c>
      <c r="BN35" s="20">
        <v>1.5357416670159031E-5</v>
      </c>
      <c r="BO35" s="20" t="s">
        <v>134</v>
      </c>
      <c r="BP35" s="20" t="s">
        <v>135</v>
      </c>
      <c r="BQ35" s="20">
        <v>8.3627861425434637E-3</v>
      </c>
      <c r="BR35" s="20">
        <v>5.9291532152482987E-5</v>
      </c>
      <c r="BS35" s="20">
        <v>2.2308200687482208E-3</v>
      </c>
      <c r="BT35" s="20">
        <v>3.3858735705038937E-6</v>
      </c>
      <c r="BU35" s="20">
        <v>5.9353672320017974E-2</v>
      </c>
      <c r="BV35" s="20">
        <v>1.6511439436450012E-5</v>
      </c>
      <c r="BW35" s="61"/>
      <c r="BX35" s="61"/>
      <c r="BY35" s="15"/>
      <c r="BZ35" s="18"/>
      <c r="CA35" s="18"/>
      <c r="CB35" s="18"/>
      <c r="KR35" s="16"/>
    </row>
    <row r="36" spans="1:358" s="14" customFormat="1">
      <c r="A36" s="14" t="s">
        <v>130</v>
      </c>
      <c r="B36" s="14" t="s">
        <v>61</v>
      </c>
      <c r="C36" s="14" t="s">
        <v>6</v>
      </c>
      <c r="D36" s="14">
        <v>7.5</v>
      </c>
      <c r="E36" s="16">
        <v>0.95663448620614244</v>
      </c>
      <c r="F36" s="18">
        <v>0.43378128590697929</v>
      </c>
      <c r="G36" s="18"/>
      <c r="H36" s="18"/>
      <c r="I36" s="18"/>
      <c r="R36" s="16"/>
      <c r="S36" s="16"/>
      <c r="T36" s="16"/>
      <c r="AA36" s="15">
        <v>6.1904809570233664E-2</v>
      </c>
      <c r="AB36" s="15">
        <v>6.9237230704811605E-3</v>
      </c>
      <c r="AC36" s="15">
        <v>0.23034211408862421</v>
      </c>
      <c r="AD36" s="15">
        <v>8.3748172513804942E-3</v>
      </c>
      <c r="AE36" s="20">
        <v>5.1626845647345605E-2</v>
      </c>
      <c r="AF36" s="20">
        <v>1.1036050984223852E-3</v>
      </c>
      <c r="AG36" s="20">
        <v>6.3761116178544963E-2</v>
      </c>
      <c r="AH36" s="20">
        <v>1.1286542645942239E-3</v>
      </c>
      <c r="AI36" s="20">
        <v>4.579351775871382E-2</v>
      </c>
      <c r="AJ36" s="20">
        <v>3.8998996375977629E-4</v>
      </c>
      <c r="AK36" s="20">
        <v>4.5298020612791756E-3</v>
      </c>
      <c r="AL36" s="20">
        <v>3.7884696524360348E-4</v>
      </c>
      <c r="AM36" s="20">
        <v>0.23589767846643239</v>
      </c>
      <c r="AN36" s="20">
        <v>8.3720997659972058E-3</v>
      </c>
      <c r="AO36" s="20">
        <v>8.5870194028322189E-2</v>
      </c>
      <c r="AP36" s="20">
        <v>8.3479857754161565E-4</v>
      </c>
      <c r="AQ36" s="20">
        <v>7.5570491216856057E-3</v>
      </c>
      <c r="AR36" s="20">
        <v>1.2043884555690596E-4</v>
      </c>
      <c r="AS36" s="20">
        <v>2.8886409100275096E-2</v>
      </c>
      <c r="AT36" s="20">
        <v>3.3781892949160395E-5</v>
      </c>
      <c r="AU36" s="20">
        <v>2.7604810283576024E-2</v>
      </c>
      <c r="AV36" s="20">
        <v>4.3910014714080945E-5</v>
      </c>
      <c r="AW36" s="20">
        <v>2.4078718841407651E-2</v>
      </c>
      <c r="AX36" s="20">
        <v>1.9815489793714285E-4</v>
      </c>
      <c r="AY36" s="20">
        <v>7.4859341351988153E-3</v>
      </c>
      <c r="AZ36" s="20">
        <v>2.6401821303739175E-6</v>
      </c>
      <c r="BA36" s="20">
        <v>6.4576780874772317E-3</v>
      </c>
      <c r="BB36" s="20">
        <v>1.5975053859608795E-5</v>
      </c>
      <c r="BC36" s="20">
        <v>0.23237902759492382</v>
      </c>
      <c r="BD36" s="20">
        <v>3.5196722434800443E-4</v>
      </c>
      <c r="BE36" s="20">
        <v>0.23106607683534944</v>
      </c>
      <c r="BF36" s="20">
        <v>3.470843538427884E-4</v>
      </c>
      <c r="BG36" s="20">
        <v>3.0066966533593575E-6</v>
      </c>
      <c r="BH36" s="67">
        <v>1.803541149494174E-8</v>
      </c>
      <c r="BI36" s="20">
        <v>1.8570530966316189E-2</v>
      </c>
      <c r="BJ36" s="20">
        <v>2.0327499534944321E-5</v>
      </c>
      <c r="BK36" s="20">
        <v>3.4091768534113422E-2</v>
      </c>
      <c r="BL36" s="20">
        <v>4.0743000302924325E-5</v>
      </c>
      <c r="BM36" s="20">
        <v>1.3259588625729681E-2</v>
      </c>
      <c r="BN36" s="20">
        <v>4.7872210030058387E-5</v>
      </c>
      <c r="BO36" s="20" t="s">
        <v>134</v>
      </c>
      <c r="BP36" s="20" t="s">
        <v>135</v>
      </c>
      <c r="BQ36" s="20">
        <v>4.3113432383056535E-3</v>
      </c>
      <c r="BR36" s="20">
        <v>1.1515806543371272E-5</v>
      </c>
      <c r="BS36" s="20">
        <v>9.7459585442827691E-4</v>
      </c>
      <c r="BT36" s="20">
        <v>2.7047846945206086E-6</v>
      </c>
      <c r="BU36" s="20">
        <v>0.11147236206360968</v>
      </c>
      <c r="BV36" s="20">
        <v>7.6166670320137642E-5</v>
      </c>
      <c r="BW36" s="60"/>
      <c r="BX36" s="60"/>
      <c r="BY36" s="15"/>
      <c r="BZ36" s="18"/>
      <c r="CA36" s="18"/>
      <c r="CB36" s="18"/>
      <c r="KR36" s="16"/>
    </row>
    <row r="37" spans="1:358" s="14" customFormat="1">
      <c r="A37" s="14" t="s">
        <v>130</v>
      </c>
      <c r="B37" s="14" t="s">
        <v>62</v>
      </c>
      <c r="C37" s="14" t="s">
        <v>63</v>
      </c>
      <c r="D37" s="14">
        <v>23.5</v>
      </c>
      <c r="E37" s="16">
        <v>0.96040207768174457</v>
      </c>
      <c r="F37" s="18">
        <v>0.33796803668318381</v>
      </c>
      <c r="G37" s="18"/>
      <c r="H37" s="18"/>
      <c r="I37" s="18"/>
      <c r="R37" s="16"/>
      <c r="S37" s="16"/>
      <c r="T37" s="16"/>
      <c r="AA37" s="15">
        <v>3.2914494065302086E-2</v>
      </c>
      <c r="AB37" s="15">
        <v>5.3998154199557495E-3</v>
      </c>
      <c r="AC37" s="15">
        <v>0.13525485260636802</v>
      </c>
      <c r="AD37" s="15">
        <v>1.0491302527827406E-2</v>
      </c>
      <c r="AE37" s="20">
        <v>6.1887172478352542E-2</v>
      </c>
      <c r="AF37" s="20">
        <v>1.843992583168355E-3</v>
      </c>
      <c r="AG37" s="20">
        <v>6.4808689178444151E-2</v>
      </c>
      <c r="AH37" s="20">
        <v>9.6863301019575352E-4</v>
      </c>
      <c r="AI37" s="20">
        <v>4.4596440023031023E-2</v>
      </c>
      <c r="AJ37" s="20">
        <v>4.725055442275123E-4</v>
      </c>
      <c r="AK37" s="20">
        <v>4.5040422631307184E-3</v>
      </c>
      <c r="AL37" s="20">
        <v>3.4514818545653558E-4</v>
      </c>
      <c r="AM37" s="20">
        <v>0.189947521804813</v>
      </c>
      <c r="AN37" s="20">
        <v>5.9215457053661954E-3</v>
      </c>
      <c r="AO37" s="20">
        <v>7.8394756029523185E-2</v>
      </c>
      <c r="AP37" s="20">
        <v>2.1796979599777418E-3</v>
      </c>
      <c r="AQ37" s="20">
        <v>7.7718186078111345E-3</v>
      </c>
      <c r="AR37" s="20">
        <v>2.9125358706177083E-4</v>
      </c>
      <c r="AS37" s="20">
        <v>2.361340643754764E-2</v>
      </c>
      <c r="AT37" s="20">
        <v>2.2093586700209242E-5</v>
      </c>
      <c r="AU37" s="20">
        <v>2.7685823855979043E-2</v>
      </c>
      <c r="AV37" s="20">
        <v>3.9117521368800541E-5</v>
      </c>
      <c r="AW37" s="20">
        <v>2.2747721459921946E-2</v>
      </c>
      <c r="AX37" s="20">
        <v>3.4814697734376301E-6</v>
      </c>
      <c r="AY37" s="20">
        <v>5.2113414191222434E-3</v>
      </c>
      <c r="AZ37" s="20">
        <v>6.7869148692125085E-6</v>
      </c>
      <c r="BA37" s="20">
        <v>6.4566346298481885E-3</v>
      </c>
      <c r="BB37" s="20">
        <v>1.6133257912068428E-5</v>
      </c>
      <c r="BC37" s="20">
        <v>0.14660599699057458</v>
      </c>
      <c r="BD37" s="20">
        <v>3.906706299820635E-4</v>
      </c>
      <c r="BE37" s="20">
        <v>0.23466492219199359</v>
      </c>
      <c r="BF37" s="20">
        <v>8.9192834263771882E-4</v>
      </c>
      <c r="BG37" s="20">
        <v>1.5827968678122428E-6</v>
      </c>
      <c r="BH37" s="67">
        <v>2.6128875179078076E-8</v>
      </c>
      <c r="BI37" s="20">
        <v>2.2045641009260493E-2</v>
      </c>
      <c r="BJ37" s="20">
        <v>5.9910179515654465E-5</v>
      </c>
      <c r="BK37" s="20">
        <v>3.1937490733408833E-2</v>
      </c>
      <c r="BL37" s="20">
        <v>2.0531538515067681E-4</v>
      </c>
      <c r="BM37" s="20">
        <v>1.1486046182918345E-2</v>
      </c>
      <c r="BN37" s="20">
        <v>1.3952860011462993E-4</v>
      </c>
      <c r="BO37" s="20" t="s">
        <v>134</v>
      </c>
      <c r="BP37" s="20" t="s">
        <v>135</v>
      </c>
      <c r="BQ37" s="20">
        <v>3.484478954318825E-3</v>
      </c>
      <c r="BR37" s="20">
        <v>9.1009348132860205E-6</v>
      </c>
      <c r="BS37" s="20">
        <v>1.8057943251539605E-3</v>
      </c>
      <c r="BT37" s="20">
        <v>1.3082197694228275E-5</v>
      </c>
      <c r="BU37" s="20">
        <v>7.5226546022333154E-2</v>
      </c>
      <c r="BV37" s="20">
        <v>1.8237625829669904E-4</v>
      </c>
      <c r="BW37" s="60"/>
      <c r="BX37" s="60"/>
      <c r="KR37" s="16"/>
    </row>
    <row r="38" spans="1:358" s="14" customFormat="1">
      <c r="A38" s="14" t="s">
        <v>130</v>
      </c>
      <c r="B38" s="14" t="s">
        <v>64</v>
      </c>
      <c r="C38" s="14" t="s">
        <v>65</v>
      </c>
      <c r="D38" s="14">
        <v>36</v>
      </c>
      <c r="E38" s="16">
        <v>0.79400764289779657</v>
      </c>
      <c r="F38" s="18">
        <v>0.19335890673699346</v>
      </c>
      <c r="G38" s="18"/>
      <c r="H38" s="18"/>
      <c r="I38" s="18"/>
      <c r="R38" s="16"/>
      <c r="S38" s="16"/>
      <c r="T38" s="16"/>
      <c r="AA38" s="15">
        <v>1.8570209776513608E-2</v>
      </c>
      <c r="AB38" s="15">
        <v>4.3773409926597291E-3</v>
      </c>
      <c r="AC38" s="15">
        <v>4.9550532382219292E-2</v>
      </c>
      <c r="AD38" s="15">
        <v>1.2575523007951476E-3</v>
      </c>
      <c r="AE38" s="20">
        <v>3.6404050950039644E-2</v>
      </c>
      <c r="AF38" s="20">
        <v>5.2797384453516613E-4</v>
      </c>
      <c r="AG38" s="20">
        <v>5.1365129282243294E-2</v>
      </c>
      <c r="AH38" s="20">
        <v>1.6144303464998332E-3</v>
      </c>
      <c r="AI38" s="20">
        <v>3.5732054887509135E-2</v>
      </c>
      <c r="AJ38" s="20">
        <v>1.7015520644441929E-3</v>
      </c>
      <c r="AK38" s="20">
        <v>6.412454613526004E-3</v>
      </c>
      <c r="AL38" s="20">
        <v>1.4956675150567293E-3</v>
      </c>
      <c r="AM38" s="20">
        <v>0.138579407490736</v>
      </c>
      <c r="AN38" s="20">
        <v>4.9145141557719409E-2</v>
      </c>
      <c r="AO38" s="20">
        <v>6.4728060771445023E-2</v>
      </c>
      <c r="AP38" s="20">
        <v>5.8902355225912226E-3</v>
      </c>
      <c r="AQ38" s="20">
        <v>1.3414717171018145E-2</v>
      </c>
      <c r="AR38" s="20">
        <v>1.5619690354452171E-3</v>
      </c>
      <c r="AS38" s="20">
        <v>1.3057879359009898E-2</v>
      </c>
      <c r="AT38" s="20">
        <v>5.121155870603413E-5</v>
      </c>
      <c r="AU38" s="20">
        <v>2.0830259577321698E-2</v>
      </c>
      <c r="AV38" s="20">
        <v>2.2953137983988101E-4</v>
      </c>
      <c r="AW38" s="20">
        <v>1.4719323008687758E-2</v>
      </c>
      <c r="AX38" s="20">
        <v>4.8312047176419022E-5</v>
      </c>
      <c r="AY38" s="20">
        <v>4.5956209109660239E-3</v>
      </c>
      <c r="AZ38" s="20">
        <v>8.3223296144842148E-6</v>
      </c>
      <c r="BA38" s="20">
        <v>9.1004895700592791E-3</v>
      </c>
      <c r="BB38" s="20">
        <v>4.557204367750692E-5</v>
      </c>
      <c r="BC38" s="20">
        <v>5.7724919190126713E-2</v>
      </c>
      <c r="BD38" s="20">
        <v>1.0138093421375814E-5</v>
      </c>
      <c r="BE38" s="20">
        <v>0.19502401789556503</v>
      </c>
      <c r="BF38" s="20">
        <v>3.1334302928429547E-4</v>
      </c>
      <c r="BG38" s="20">
        <v>8.824983894407213E-7</v>
      </c>
      <c r="BH38" s="67">
        <v>2.1102602820796491E-8</v>
      </c>
      <c r="BI38" s="20">
        <v>3.8953056586339073E-3</v>
      </c>
      <c r="BJ38" s="20">
        <v>5.7366957791803804E-6</v>
      </c>
      <c r="BK38" s="20">
        <v>3.5890980017589974E-2</v>
      </c>
      <c r="BL38" s="20">
        <v>1.5372617694880453E-6</v>
      </c>
      <c r="BM38" s="20">
        <v>9.8818278250234204E-3</v>
      </c>
      <c r="BN38" s="20">
        <v>3.9744895455763735E-5</v>
      </c>
      <c r="BO38" s="20" t="s">
        <v>134</v>
      </c>
      <c r="BP38" s="20" t="s">
        <v>135</v>
      </c>
      <c r="BQ38" s="20">
        <v>2.5649652936486135E-3</v>
      </c>
      <c r="BR38" s="20">
        <v>4.998264143495843E-6</v>
      </c>
      <c r="BS38" s="20">
        <v>2.685589076322091E-3</v>
      </c>
      <c r="BT38" s="20">
        <v>2.6394072144180205E-5</v>
      </c>
      <c r="BU38" s="20">
        <v>9.9951965630749401E-2</v>
      </c>
      <c r="BV38" s="20">
        <v>8.2605863489655361E-5</v>
      </c>
      <c r="BW38" s="60"/>
      <c r="BX38" s="60"/>
      <c r="KR38" s="16"/>
    </row>
    <row r="39" spans="1:358" s="14" customFormat="1">
      <c r="A39" s="14" t="s">
        <v>130</v>
      </c>
      <c r="B39" s="14" t="s">
        <v>66</v>
      </c>
      <c r="C39" s="14" t="s">
        <v>67</v>
      </c>
      <c r="D39" s="14">
        <v>45</v>
      </c>
      <c r="E39" s="16">
        <v>0.27651866578307932</v>
      </c>
      <c r="F39" s="18">
        <v>0.15817167307525526</v>
      </c>
      <c r="G39" s="18"/>
      <c r="H39" s="18"/>
      <c r="I39" s="18"/>
      <c r="R39" s="16"/>
      <c r="S39" s="16"/>
      <c r="T39" s="16"/>
      <c r="AA39" s="15">
        <v>8.726667216576927E-3</v>
      </c>
      <c r="AB39" s="15">
        <v>7.5076085749776382E-4</v>
      </c>
      <c r="AC39" s="15">
        <v>3.7157529771685127E-2</v>
      </c>
      <c r="AD39" s="15">
        <v>2.1459444251501823E-3</v>
      </c>
      <c r="AE39" s="20">
        <v>3.2469421345072552E-2</v>
      </c>
      <c r="AF39" s="20">
        <v>1.6947754808763597E-5</v>
      </c>
      <c r="AG39" s="20">
        <v>4.5563016636814009E-2</v>
      </c>
      <c r="AH39" s="20">
        <v>1.1075094245393553E-3</v>
      </c>
      <c r="AI39" s="20">
        <v>3.4356190564744163E-2</v>
      </c>
      <c r="AJ39" s="20">
        <v>2.2942132601225075E-4</v>
      </c>
      <c r="AK39" s="20">
        <v>7.4983694716817696E-3</v>
      </c>
      <c r="AL39" s="20">
        <v>3.8091207506939548E-4</v>
      </c>
      <c r="AM39" s="20">
        <v>8.7913926585647117E-2</v>
      </c>
      <c r="AN39" s="20">
        <v>2.7181854819549779E-4</v>
      </c>
      <c r="AO39" s="20">
        <v>6.5920214300239616E-2</v>
      </c>
      <c r="AP39" s="20">
        <v>1.314360792595385E-3</v>
      </c>
      <c r="AQ39" s="20">
        <v>1.2768726091973694E-2</v>
      </c>
      <c r="AR39" s="20">
        <v>2.4683059235268667E-4</v>
      </c>
      <c r="AS39" s="20">
        <v>1.2803807007966215E-2</v>
      </c>
      <c r="AT39" s="20">
        <v>9.1709976410915241E-5</v>
      </c>
      <c r="AU39" s="20">
        <v>2.2847765994373676E-2</v>
      </c>
      <c r="AV39" s="20">
        <v>5.6199542381106128E-5</v>
      </c>
      <c r="AW39" s="20">
        <v>1.8072678073703739E-2</v>
      </c>
      <c r="AX39" s="20">
        <v>4.8986449999510577E-5</v>
      </c>
      <c r="AY39" s="20">
        <v>6.4957723511138085E-3</v>
      </c>
      <c r="AZ39" s="20">
        <v>5.4723270653833883E-5</v>
      </c>
      <c r="BA39" s="20">
        <v>1.0406355292169269E-2</v>
      </c>
      <c r="BB39" s="20">
        <v>2.5033873825451538E-5</v>
      </c>
      <c r="BC39" s="20">
        <v>5.1848142670187301E-2</v>
      </c>
      <c r="BD39" s="20">
        <v>1.2504630849749222E-4</v>
      </c>
      <c r="BE39" s="20">
        <v>0.20503905645282333</v>
      </c>
      <c r="BF39" s="20">
        <v>1.1542677226072096E-4</v>
      </c>
      <c r="BG39" s="20">
        <v>1.262547885077693E-6</v>
      </c>
      <c r="BH39" s="67">
        <v>1.6770406578450375E-8</v>
      </c>
      <c r="BI39" s="20">
        <v>8.9377948262986777E-3</v>
      </c>
      <c r="BJ39" s="20">
        <v>1.213040046720882E-5</v>
      </c>
      <c r="BK39" s="20">
        <v>1.9629934057161996E-2</v>
      </c>
      <c r="BL39" s="20">
        <v>6.7476386780108351E-5</v>
      </c>
      <c r="BM39" s="20">
        <v>1.2852014744308528E-2</v>
      </c>
      <c r="BN39" s="20">
        <v>6.7809378083359678E-5</v>
      </c>
      <c r="BO39" s="20" t="s">
        <v>134</v>
      </c>
      <c r="BP39" s="20" t="s">
        <v>135</v>
      </c>
      <c r="BQ39" s="20">
        <v>7.4802362604152193E-3</v>
      </c>
      <c r="BR39" s="20">
        <v>3.9524349566429259E-5</v>
      </c>
      <c r="BS39" s="20">
        <v>6.309182668778824E-3</v>
      </c>
      <c r="BT39" s="20">
        <v>5.2961684269750498E-5</v>
      </c>
      <c r="BU39" s="20">
        <v>5.9655146498013956E-2</v>
      </c>
      <c r="BV39" s="20">
        <v>2.8888053333383241E-5</v>
      </c>
      <c r="BW39" s="60"/>
      <c r="BX39" s="60"/>
      <c r="KR39" s="16"/>
    </row>
    <row r="40" spans="1:358" s="14" customFormat="1">
      <c r="A40" s="14" t="s">
        <v>130</v>
      </c>
      <c r="B40" s="14" t="s">
        <v>68</v>
      </c>
      <c r="C40" s="14" t="s">
        <v>69</v>
      </c>
      <c r="D40" s="14">
        <v>57.5</v>
      </c>
      <c r="E40" s="16">
        <v>0.21255986363267407</v>
      </c>
      <c r="F40" s="18">
        <v>0.20058355057039684</v>
      </c>
      <c r="G40" s="18"/>
      <c r="H40" s="18"/>
      <c r="I40" s="18"/>
      <c r="R40" s="16"/>
      <c r="S40" s="16"/>
      <c r="T40" s="16"/>
      <c r="AA40" s="15">
        <v>1.8190301797814902E-3</v>
      </c>
      <c r="AB40" s="15">
        <v>1.9598002917768222E-4</v>
      </c>
      <c r="AC40" s="15"/>
      <c r="AD40" s="15"/>
      <c r="AE40" s="20">
        <v>2.950138922497833E-2</v>
      </c>
      <c r="AF40" s="20">
        <v>7.028389491186397E-4</v>
      </c>
      <c r="AG40" s="20">
        <v>4.556731312244007E-2</v>
      </c>
      <c r="AH40" s="20">
        <v>7.2318879519365749E-4</v>
      </c>
      <c r="AI40" s="20">
        <v>3.5074862489536736E-2</v>
      </c>
      <c r="AJ40" s="20">
        <v>2.1868068651657873E-5</v>
      </c>
      <c r="AK40" s="20">
        <v>1.8233174245900409E-2</v>
      </c>
      <c r="AL40" s="20">
        <v>9.4491485283639378E-4</v>
      </c>
      <c r="AM40" s="20">
        <v>8.2762544734456198E-2</v>
      </c>
      <c r="AN40" s="20">
        <v>7.4567939574205419E-3</v>
      </c>
      <c r="AO40" s="20">
        <v>6.262156857902125E-2</v>
      </c>
      <c r="AP40" s="20">
        <v>3.7921406513687769E-3</v>
      </c>
      <c r="AQ40" s="20">
        <v>1.2953445443503386E-2</v>
      </c>
      <c r="AR40" s="20">
        <v>4.0270543713773237E-4</v>
      </c>
      <c r="AS40" s="20">
        <v>1.3894865733267361E-2</v>
      </c>
      <c r="AT40" s="20">
        <v>1.07050543348943E-4</v>
      </c>
      <c r="AU40" s="20">
        <v>2.6600976132288543E-2</v>
      </c>
      <c r="AV40" s="20">
        <v>2.0056766239899247E-4</v>
      </c>
      <c r="AW40" s="20">
        <v>2.3315382856666803E-2</v>
      </c>
      <c r="AX40" s="20">
        <v>1.9154848767334937E-4</v>
      </c>
      <c r="AY40" s="20">
        <v>1.0142304000000858E-2</v>
      </c>
      <c r="AZ40" s="20">
        <v>5.9985127717916039E-5</v>
      </c>
      <c r="BA40" s="20">
        <v>3.1939734228124704E-2</v>
      </c>
      <c r="BB40" s="20">
        <v>4.8311373133010626E-5</v>
      </c>
      <c r="BC40" s="20">
        <v>4.9372293908445039E-2</v>
      </c>
      <c r="BD40" s="20">
        <v>1.1355727479056201E-4</v>
      </c>
      <c r="BE40" s="20">
        <v>0.21572440227781672</v>
      </c>
      <c r="BF40" s="20">
        <v>1.7569801395859977E-3</v>
      </c>
      <c r="BG40" s="20">
        <v>1.04567134507755E-6</v>
      </c>
      <c r="BH40" s="67">
        <v>1.2232008489937198E-8</v>
      </c>
      <c r="BI40" s="20">
        <v>8.6661025390868552E-3</v>
      </c>
      <c r="BJ40" s="20">
        <v>1.0960226376215908E-5</v>
      </c>
      <c r="BK40" s="20">
        <v>2.4306451615340962E-2</v>
      </c>
      <c r="BL40" s="20">
        <v>3.1610348926605339E-5</v>
      </c>
      <c r="BM40" s="20">
        <v>1.5632925129695517E-2</v>
      </c>
      <c r="BN40" s="20">
        <v>3.2907446876863749E-5</v>
      </c>
      <c r="BO40" s="20" t="s">
        <v>134</v>
      </c>
      <c r="BP40" s="20" t="s">
        <v>135</v>
      </c>
      <c r="BQ40" s="20">
        <v>2.3316675212305585E-2</v>
      </c>
      <c r="BR40" s="20">
        <v>3.2453445783449707E-5</v>
      </c>
      <c r="BS40" s="20">
        <v>4.9754735393454995E-4</v>
      </c>
      <c r="BT40" s="20">
        <v>1.1018760379398828E-6</v>
      </c>
      <c r="BU40" s="20">
        <v>6.0030605193527979E-2</v>
      </c>
      <c r="BV40" s="20">
        <v>8.1258512926443764E-5</v>
      </c>
      <c r="BW40" s="61"/>
      <c r="BX40" s="61"/>
      <c r="KR40" s="16"/>
    </row>
    <row r="41" spans="1:358" s="14" customFormat="1">
      <c r="A41" s="14" t="s">
        <v>131</v>
      </c>
      <c r="B41" s="14" t="s">
        <v>70</v>
      </c>
      <c r="C41" s="14" t="s">
        <v>71</v>
      </c>
      <c r="D41" s="14">
        <v>8</v>
      </c>
      <c r="E41" s="16">
        <v>0.93038214150586462</v>
      </c>
      <c r="F41" s="18">
        <v>0.42650698945500881</v>
      </c>
      <c r="G41" s="19">
        <v>14.561920543022538</v>
      </c>
      <c r="H41" s="19">
        <v>61.196022519465032</v>
      </c>
      <c r="I41" s="19">
        <v>24.242056937512434</v>
      </c>
      <c r="Q41" s="16">
        <v>5.7029999999999994</v>
      </c>
      <c r="R41" s="16">
        <v>5.091168824543147E-2</v>
      </c>
      <c r="S41" s="16">
        <v>0</v>
      </c>
      <c r="T41" s="16">
        <v>2.1213203435596173E-5</v>
      </c>
      <c r="AA41" s="15">
        <v>5.65215341649217E-2</v>
      </c>
      <c r="AB41" s="15">
        <v>4.6213812889419684E-3</v>
      </c>
      <c r="AC41" s="15">
        <v>0.166072939858601</v>
      </c>
      <c r="AD41" s="15">
        <v>1.254794664621719E-3</v>
      </c>
      <c r="AE41" s="20">
        <v>2.8662167334158703E-2</v>
      </c>
      <c r="AF41" s="20">
        <v>2.2289681909004735E-4</v>
      </c>
      <c r="AG41" s="20">
        <v>7.8397439652817563E-2</v>
      </c>
      <c r="AH41" s="20">
        <v>9.2921528171386323E-4</v>
      </c>
      <c r="AI41" s="20">
        <v>3.50130425868211E-2</v>
      </c>
      <c r="AJ41" s="20">
        <v>4.1382741779771078E-4</v>
      </c>
      <c r="AK41" s="20">
        <v>6.5478277918145297E-3</v>
      </c>
      <c r="AL41" s="20">
        <v>8.799052131361235E-4</v>
      </c>
      <c r="AM41" s="20">
        <v>0.11278588728614594</v>
      </c>
      <c r="AN41" s="20">
        <v>1.5087089717285328E-3</v>
      </c>
      <c r="AO41" s="20">
        <v>0.12834610052888881</v>
      </c>
      <c r="AP41" s="20">
        <v>3.769427277703697E-3</v>
      </c>
      <c r="AQ41" s="20">
        <v>8.6214910386632464E-3</v>
      </c>
      <c r="AR41" s="20">
        <v>2.3821958553163256E-4</v>
      </c>
      <c r="AS41" s="20">
        <v>1.7098435069962437E-2</v>
      </c>
      <c r="AT41" s="20">
        <v>4.3652571655653934E-5</v>
      </c>
      <c r="AU41" s="20">
        <v>3.0931386154727843E-2</v>
      </c>
      <c r="AV41" s="20">
        <v>3.4092173678319466E-5</v>
      </c>
      <c r="AW41" s="20">
        <v>1.741042647581189E-2</v>
      </c>
      <c r="AX41" s="20">
        <v>2.9168707365082361E-5</v>
      </c>
      <c r="AY41" s="20">
        <v>7.2784680381534905E-3</v>
      </c>
      <c r="AZ41" s="20">
        <v>2.0644247770522955E-5</v>
      </c>
      <c r="BA41" s="20">
        <v>8.4309261863840627E-3</v>
      </c>
      <c r="BB41" s="20">
        <v>3.6103273974167927E-5</v>
      </c>
      <c r="BC41" s="20">
        <v>9.6506275764386265E-2</v>
      </c>
      <c r="BD41" s="20">
        <v>1.9110709028109275E-4</v>
      </c>
      <c r="BE41" s="20">
        <v>0.22326007121466385</v>
      </c>
      <c r="BF41" s="20">
        <v>6.5563377482923929E-5</v>
      </c>
      <c r="BG41" s="20">
        <v>3.1536809295956909E-6</v>
      </c>
      <c r="BH41" s="67">
        <v>2.4212323249355216E-8</v>
      </c>
      <c r="BI41" s="20">
        <v>5.6130670465229055E-3</v>
      </c>
      <c r="BJ41" s="20">
        <v>1.6801703049033935E-5</v>
      </c>
      <c r="BK41" s="20">
        <v>4.6758642773831717E-2</v>
      </c>
      <c r="BL41" s="20">
        <v>1.7502831763260265E-4</v>
      </c>
      <c r="BM41" s="20">
        <v>1.1183761713540007E-2</v>
      </c>
      <c r="BN41" s="20">
        <v>1.7606604638354366E-5</v>
      </c>
      <c r="BO41" s="20" t="s">
        <v>134</v>
      </c>
      <c r="BP41" s="20" t="s">
        <v>135</v>
      </c>
      <c r="BQ41" s="20">
        <v>4.8730864525488634E-3</v>
      </c>
      <c r="BR41" s="20">
        <v>1.3559116883126162E-6</v>
      </c>
      <c r="BS41" s="20">
        <v>1.5529923543753977E-3</v>
      </c>
      <c r="BT41" s="20">
        <v>2.4631439449424073E-5</v>
      </c>
      <c r="BU41" s="20">
        <v>0.18198750131561806</v>
      </c>
      <c r="BV41" s="20">
        <v>1.1117535007214868E-4</v>
      </c>
      <c r="BW41" s="60"/>
      <c r="BX41" s="60"/>
      <c r="KR41" s="16"/>
    </row>
    <row r="42" spans="1:358" s="14" customFormat="1">
      <c r="A42" s="14" t="s">
        <v>131</v>
      </c>
      <c r="B42" s="14" t="s">
        <v>72</v>
      </c>
      <c r="C42" s="14" t="s">
        <v>73</v>
      </c>
      <c r="D42" s="14">
        <v>22.5</v>
      </c>
      <c r="E42" s="16">
        <v>0.98854130496543458</v>
      </c>
      <c r="F42" s="18">
        <v>0.41783199158949852</v>
      </c>
      <c r="G42" s="19">
        <v>49.804800991841226</v>
      </c>
      <c r="H42" s="19">
        <v>40.597646616541489</v>
      </c>
      <c r="I42" s="19">
        <v>9.5975523916172794</v>
      </c>
      <c r="J42" s="16">
        <v>3.7195772730818955</v>
      </c>
      <c r="K42" s="16">
        <v>1.0171099211690666E-2</v>
      </c>
      <c r="L42" s="16">
        <v>0.36502654644615795</v>
      </c>
      <c r="M42" s="16">
        <v>2.8911913582914547E-3</v>
      </c>
      <c r="N42" s="16">
        <v>-25.238050600000001</v>
      </c>
      <c r="O42" s="16">
        <v>2.7004690816250245E-3</v>
      </c>
      <c r="P42" s="21">
        <f>J42/L42</f>
        <v>10.189881555999488</v>
      </c>
      <c r="Q42" s="16">
        <v>3.7895950000000003</v>
      </c>
      <c r="R42" s="16">
        <v>5.5861471964136551E-2</v>
      </c>
      <c r="S42" s="16">
        <v>0</v>
      </c>
      <c r="T42" s="16">
        <v>6.3639610306789134E-5</v>
      </c>
      <c r="AA42" s="15">
        <v>1.8957589251839733E-2</v>
      </c>
      <c r="AB42" s="15">
        <v>2.9095674749039478E-3</v>
      </c>
      <c r="AC42" s="15">
        <v>0.13294129867910856</v>
      </c>
      <c r="AD42" s="15">
        <v>1.421051164781255E-3</v>
      </c>
      <c r="AE42" s="20">
        <v>2.9345042914841628E-2</v>
      </c>
      <c r="AF42" s="20">
        <v>2.8525508269360331E-4</v>
      </c>
      <c r="AG42" s="20">
        <v>9.3133725914452431E-2</v>
      </c>
      <c r="AH42" s="20">
        <v>8.5045293580517057E-4</v>
      </c>
      <c r="AI42" s="20">
        <v>3.3051248997585873E-2</v>
      </c>
      <c r="AJ42" s="20">
        <v>1.7376106160373544E-4</v>
      </c>
      <c r="AK42" s="20">
        <v>5.0063943666838178E-3</v>
      </c>
      <c r="AL42" s="20">
        <v>5.1644865120781113E-5</v>
      </c>
      <c r="AM42" s="20">
        <v>0.12070679855390525</v>
      </c>
      <c r="AN42" s="20">
        <v>1.7010444997310012E-3</v>
      </c>
      <c r="AO42" s="20">
        <v>0.11056292972327157</v>
      </c>
      <c r="AP42" s="20">
        <v>1.1785602336908778E-3</v>
      </c>
      <c r="AQ42" s="20">
        <v>6.1704373038814157E-3</v>
      </c>
      <c r="AR42" s="20">
        <v>1.092274142937996E-4</v>
      </c>
      <c r="AS42" s="20">
        <v>1.8361589460427874E-2</v>
      </c>
      <c r="AT42" s="20">
        <v>6.8472777943998938E-5</v>
      </c>
      <c r="AU42" s="20">
        <v>3.3591407908606492E-2</v>
      </c>
      <c r="AV42" s="20">
        <v>7.9418272128670839E-5</v>
      </c>
      <c r="AW42" s="20">
        <v>1.545278456866956E-2</v>
      </c>
      <c r="AX42" s="20">
        <v>8.2549625759356128E-5</v>
      </c>
      <c r="AY42" s="20">
        <v>3.5748521855884963E-3</v>
      </c>
      <c r="AZ42" s="20">
        <v>6.7484824817818234E-6</v>
      </c>
      <c r="BA42" s="20">
        <v>7.245872850270227E-3</v>
      </c>
      <c r="BB42" s="20">
        <v>2.3573022592272236E-5</v>
      </c>
      <c r="BC42" s="20">
        <v>0.10825105153365422</v>
      </c>
      <c r="BD42" s="20">
        <v>1.6747266836669838E-4</v>
      </c>
      <c r="BE42" s="20">
        <v>0.25003552614456176</v>
      </c>
      <c r="BF42" s="20">
        <v>6.7024736856841863E-4</v>
      </c>
      <c r="BG42" s="20">
        <v>3.636516670442711E-6</v>
      </c>
      <c r="BH42" s="67">
        <v>1.2454345451274064E-8</v>
      </c>
      <c r="BI42" s="20">
        <v>3.3280673684276032E-3</v>
      </c>
      <c r="BJ42" s="20">
        <v>5.0741237128108152E-7</v>
      </c>
      <c r="BK42" s="20">
        <v>5.999495894529961E-2</v>
      </c>
      <c r="BL42" s="20">
        <v>3.7018163039291704E-6</v>
      </c>
      <c r="BM42" s="20">
        <v>7.3231321202824528E-3</v>
      </c>
      <c r="BN42" s="20">
        <v>9.7838862661526628E-6</v>
      </c>
      <c r="BO42" s="20" t="s">
        <v>134</v>
      </c>
      <c r="BP42" s="20" t="s">
        <v>135</v>
      </c>
      <c r="BQ42" s="20">
        <v>4.9653541656875461E-3</v>
      </c>
      <c r="BR42" s="20">
        <v>2.7743154462774343E-5</v>
      </c>
      <c r="BS42" s="20" t="s">
        <v>134</v>
      </c>
      <c r="BT42" s="20" t="s">
        <v>135</v>
      </c>
      <c r="BU42" s="20">
        <v>0.17773131439435241</v>
      </c>
      <c r="BV42" s="20">
        <v>6.2908757379933505E-4</v>
      </c>
      <c r="BW42" s="60"/>
      <c r="BX42" s="60"/>
      <c r="KR42" s="16"/>
    </row>
    <row r="43" spans="1:358" s="14" customFormat="1">
      <c r="A43" s="14" t="s">
        <v>131</v>
      </c>
      <c r="B43" s="14" t="s">
        <v>74</v>
      </c>
      <c r="C43" s="14" t="s">
        <v>75</v>
      </c>
      <c r="D43" s="14">
        <v>38</v>
      </c>
      <c r="E43" s="16">
        <v>0.99701008809969416</v>
      </c>
      <c r="F43" s="18">
        <v>0.46552420391051186</v>
      </c>
      <c r="G43" s="18"/>
      <c r="H43" s="18"/>
      <c r="I43" s="18"/>
      <c r="Q43" s="5">
        <v>1.4617499999999999</v>
      </c>
      <c r="R43" s="5">
        <v>1.0610758691064393E-2</v>
      </c>
      <c r="S43" s="5">
        <v>2.4750000000000001E-2</v>
      </c>
      <c r="T43" s="5">
        <v>2.9698484809835015E-4</v>
      </c>
      <c r="U43" s="15">
        <v>0.67415759734539971</v>
      </c>
      <c r="V43" s="15">
        <v>1.0458036326862837E-3</v>
      </c>
      <c r="W43" s="21">
        <v>-331.28404024116355</v>
      </c>
      <c r="X43" s="21">
        <v>1.0458036326862836</v>
      </c>
      <c r="Y43" s="19">
        <v>3165</v>
      </c>
      <c r="Z43" s="14">
        <v>15</v>
      </c>
      <c r="AA43" s="15">
        <v>7.12562494574801E-3</v>
      </c>
      <c r="AB43" s="15">
        <v>4.3011476749756046E-4</v>
      </c>
      <c r="AC43" s="15">
        <v>7.293309382612706E-2</v>
      </c>
      <c r="AD43" s="15">
        <v>2.7842129928418113E-3</v>
      </c>
      <c r="AE43" s="20">
        <v>3.7853059108115955E-2</v>
      </c>
      <c r="AF43" s="20">
        <v>1.6219490956006328E-4</v>
      </c>
      <c r="AG43" s="20">
        <v>9.1926437374524522E-2</v>
      </c>
      <c r="AH43" s="20">
        <v>5.4596635644153335E-4</v>
      </c>
      <c r="AI43" s="20">
        <v>4.6816143386194581E-2</v>
      </c>
      <c r="AJ43" s="20">
        <v>8.7759895268612112E-4</v>
      </c>
      <c r="AK43" s="20">
        <v>5.1736358378461113E-3</v>
      </c>
      <c r="AL43" s="20">
        <v>8.1361725403897214E-4</v>
      </c>
      <c r="AM43" s="20">
        <v>0.10033828299831213</v>
      </c>
      <c r="AN43" s="20">
        <v>8.1275327044248494E-6</v>
      </c>
      <c r="AO43" s="20">
        <v>0.10086747700566367</v>
      </c>
      <c r="AP43" s="20">
        <v>1.3769182435281687E-2</v>
      </c>
      <c r="AQ43" s="20">
        <v>9.0780269251447034E-3</v>
      </c>
      <c r="AR43" s="20">
        <v>3.1807356168937041E-4</v>
      </c>
      <c r="AS43" s="20">
        <v>1.3156237576431105E-2</v>
      </c>
      <c r="AT43" s="20">
        <v>2.4959474903091329E-5</v>
      </c>
      <c r="AU43" s="20">
        <v>3.1797509107789362E-2</v>
      </c>
      <c r="AV43" s="20">
        <v>3.165859085276331E-5</v>
      </c>
      <c r="AW43" s="20">
        <v>2.6376137216672604E-2</v>
      </c>
      <c r="AX43" s="20">
        <v>3.0358603964844143E-5</v>
      </c>
      <c r="AY43" s="20">
        <v>3.4442570388712422E-3</v>
      </c>
      <c r="AZ43" s="20">
        <v>2.5726109202039217E-7</v>
      </c>
      <c r="BA43" s="20">
        <v>5.7685961818424074E-3</v>
      </c>
      <c r="BB43" s="20">
        <v>2.4299986462235901E-5</v>
      </c>
      <c r="BC43" s="20">
        <v>6.9876225187868152E-2</v>
      </c>
      <c r="BD43" s="20">
        <v>2.6536630704783503E-4</v>
      </c>
      <c r="BE43" s="20">
        <v>0.43596517990843964</v>
      </c>
      <c r="BF43" s="20">
        <v>8.6845117042305534E-4</v>
      </c>
      <c r="BG43" s="20">
        <v>1.5801062623528811E-6</v>
      </c>
      <c r="BH43" s="67">
        <v>2.1214126957582405E-8</v>
      </c>
      <c r="BI43" s="20">
        <v>3.1059434862887999E-3</v>
      </c>
      <c r="BJ43" s="20">
        <v>5.4833950399753976E-6</v>
      </c>
      <c r="BK43" s="20">
        <v>3.6829006213558578E-2</v>
      </c>
      <c r="BL43" s="20">
        <v>2.4931837676163692E-4</v>
      </c>
      <c r="BM43" s="20">
        <v>1.312017254478628E-2</v>
      </c>
      <c r="BN43" s="20">
        <v>4.9788237384048601E-5</v>
      </c>
      <c r="BO43" s="20" t="s">
        <v>134</v>
      </c>
      <c r="BP43" s="20" t="s">
        <v>135</v>
      </c>
      <c r="BQ43" s="20">
        <v>3.155554978250106E-3</v>
      </c>
      <c r="BR43" s="20">
        <v>1.183089203638603E-5</v>
      </c>
      <c r="BS43" s="20" t="s">
        <v>134</v>
      </c>
      <c r="BT43" s="20" t="s">
        <v>135</v>
      </c>
      <c r="BU43" s="20">
        <v>0.11639779881457739</v>
      </c>
      <c r="BV43" s="20">
        <v>1.5723497823454769E-4</v>
      </c>
      <c r="BW43" s="18">
        <v>0.18852616797263455</v>
      </c>
      <c r="BX43" s="18">
        <v>9.1958066892262283E-4</v>
      </c>
      <c r="BY43" s="15">
        <v>4.3971242166940955E-3</v>
      </c>
      <c r="BZ43" s="18">
        <v>0.20140361708994925</v>
      </c>
      <c r="CA43" s="18">
        <v>0.14660716558226258</v>
      </c>
      <c r="CB43" s="18">
        <v>3.7850718171395702E-2</v>
      </c>
      <c r="CC43" s="15">
        <v>2.0023921960907638E-2</v>
      </c>
      <c r="CD43" s="16">
        <v>2.4974495688030816</v>
      </c>
      <c r="CE43" s="16">
        <v>4.8187462964243402</v>
      </c>
      <c r="CF43" s="21">
        <v>-134.34974903544804</v>
      </c>
      <c r="CG43" s="21">
        <v>3.4000000000000004</v>
      </c>
      <c r="CH43" s="21">
        <v>-68.989584577881516</v>
      </c>
      <c r="CI43" s="21">
        <v>2.9</v>
      </c>
      <c r="CJ43" s="21">
        <v>-341.73685659352293</v>
      </c>
      <c r="CK43" s="21">
        <v>1.9</v>
      </c>
      <c r="CL43" s="15">
        <v>0.87280000000000002</v>
      </c>
      <c r="CM43" s="15">
        <v>3.4000000000000002E-3</v>
      </c>
      <c r="CN43" s="15">
        <v>0.93870000000000009</v>
      </c>
      <c r="CO43" s="15">
        <v>2.8999999999999998E-3</v>
      </c>
      <c r="CP43" s="15">
        <v>0.66370000000000007</v>
      </c>
      <c r="CQ43" s="15">
        <v>1.9E-3</v>
      </c>
      <c r="CR43" s="19">
        <v>1095</v>
      </c>
      <c r="CS43" s="19">
        <v>35</v>
      </c>
      <c r="CT43" s="19">
        <v>510</v>
      </c>
      <c r="CU43" s="19">
        <v>25</v>
      </c>
      <c r="CV43" s="19">
        <v>3295</v>
      </c>
      <c r="CW43" s="19">
        <v>25</v>
      </c>
      <c r="CX43" s="20">
        <v>1.9228441292505727E-9</v>
      </c>
      <c r="CY43" s="20">
        <v>3.1579436852441094E-10</v>
      </c>
      <c r="CZ43" s="20">
        <v>2.1873303727096667E-7</v>
      </c>
      <c r="DA43" s="20">
        <v>3.55850155861555E-8</v>
      </c>
      <c r="DB43" s="20">
        <v>1.3359867018623955E-6</v>
      </c>
      <c r="DC43" s="20">
        <v>2.2710500196324327E-8</v>
      </c>
      <c r="DD43" s="20">
        <v>1.5301879953153878E-8</v>
      </c>
      <c r="DE43" s="20">
        <v>2.2660382275693611E-9</v>
      </c>
      <c r="DF43" s="20">
        <v>6.5701582623326498E-7</v>
      </c>
      <c r="DG43" s="20">
        <v>1.3562569532637882E-8</v>
      </c>
      <c r="DH43" s="20">
        <v>4.7520697697425798E-8</v>
      </c>
      <c r="DI43" s="20">
        <v>2.0561876672160788E-9</v>
      </c>
      <c r="DJ43" s="20" t="s">
        <v>134</v>
      </c>
      <c r="DK43" s="20" t="s">
        <v>134</v>
      </c>
      <c r="DL43" s="20" t="s">
        <v>134</v>
      </c>
      <c r="DM43" s="20" t="s">
        <v>134</v>
      </c>
      <c r="DN43" s="20">
        <v>1.5473371745144661E-7</v>
      </c>
      <c r="DO43" s="20">
        <v>2.6270358033886343E-9</v>
      </c>
      <c r="DP43" s="20">
        <v>5.8855945099212351E-6</v>
      </c>
      <c r="DQ43" s="20">
        <v>8.1515392232748817E-8</v>
      </c>
      <c r="DR43" s="20">
        <v>5.4309561434220194E-8</v>
      </c>
      <c r="DS43" s="20">
        <v>5.2505153755340054E-10</v>
      </c>
      <c r="DT43" s="20" t="s">
        <v>134</v>
      </c>
      <c r="DU43" s="20" t="s">
        <v>134</v>
      </c>
      <c r="DV43" s="20" t="s">
        <v>134</v>
      </c>
      <c r="DW43" s="20" t="s">
        <v>134</v>
      </c>
      <c r="DX43" s="20">
        <v>5.4121423934284637E-10</v>
      </c>
      <c r="DY43" s="20">
        <v>1.3042467167951936E-11</v>
      </c>
      <c r="DZ43" s="20">
        <v>1.645658930602367E-10</v>
      </c>
      <c r="EA43" s="20">
        <v>5.1314258768921523E-12</v>
      </c>
      <c r="EB43" s="20">
        <v>-1.1803445535181117E-11</v>
      </c>
      <c r="EC43" s="20">
        <v>9.0495217586028389E-12</v>
      </c>
      <c r="ED43" s="20">
        <v>-2.6493034381499519E-10</v>
      </c>
      <c r="EE43" s="20">
        <v>4.7123707947374766E-11</v>
      </c>
      <c r="EF43" s="20">
        <v>3.909246131344933E-11</v>
      </c>
      <c r="EG43" s="20">
        <v>1.2227700423285518E-12</v>
      </c>
      <c r="EH43" s="20">
        <v>1.0390559664463352E-8</v>
      </c>
      <c r="EI43" s="20">
        <v>1.2579076628787524E-10</v>
      </c>
      <c r="EJ43" s="20" t="s">
        <v>134</v>
      </c>
      <c r="EK43" s="20" t="s">
        <v>134</v>
      </c>
      <c r="EL43" s="20" t="s">
        <v>134</v>
      </c>
      <c r="EM43" s="20" t="s">
        <v>134</v>
      </c>
      <c r="EN43" s="20" t="s">
        <v>134</v>
      </c>
      <c r="EO43" s="20" t="s">
        <v>134</v>
      </c>
      <c r="EP43" s="20" t="s">
        <v>134</v>
      </c>
      <c r="EQ43" s="20" t="s">
        <v>134</v>
      </c>
      <c r="ER43" s="20" t="s">
        <v>134</v>
      </c>
      <c r="ES43" s="20" t="s">
        <v>134</v>
      </c>
      <c r="ET43" s="20" t="s">
        <v>134</v>
      </c>
      <c r="EU43" s="20" t="s">
        <v>134</v>
      </c>
      <c r="EV43" s="20">
        <v>1.2616217214622096E-11</v>
      </c>
      <c r="EW43" s="20">
        <v>2.9184665748467637E-13</v>
      </c>
      <c r="EX43" s="20">
        <v>4.051283347533112E-9</v>
      </c>
      <c r="EY43" s="20">
        <v>5.3330191550740806E-11</v>
      </c>
      <c r="EZ43" s="20" t="s">
        <v>134</v>
      </c>
      <c r="FA43" s="20" t="s">
        <v>134</v>
      </c>
      <c r="FB43" s="20" t="s">
        <v>134</v>
      </c>
      <c r="FC43" s="20" t="s">
        <v>134</v>
      </c>
      <c r="FD43" s="20" t="s">
        <v>134</v>
      </c>
      <c r="FE43" s="20" t="s">
        <v>134</v>
      </c>
      <c r="FF43" s="20" t="s">
        <v>134</v>
      </c>
      <c r="FG43" s="20" t="s">
        <v>134</v>
      </c>
      <c r="FH43" s="20">
        <v>1.6172554664622551E-8</v>
      </c>
      <c r="FI43" s="20">
        <v>1.3835202300615579E-9</v>
      </c>
      <c r="FJ43" s="20">
        <v>1.9368072441403644E-10</v>
      </c>
      <c r="FK43" s="20">
        <v>4.2904226279312152E-12</v>
      </c>
      <c r="FL43" s="20">
        <v>1.78883536769947E-3</v>
      </c>
      <c r="FM43" s="20">
        <v>4.4098788233448154E-5</v>
      </c>
      <c r="FN43" s="20">
        <v>0.64164971241588764</v>
      </c>
      <c r="FO43" s="20">
        <v>3.9035236132540737E-3</v>
      </c>
      <c r="FP43" s="20">
        <v>0.30419083350619786</v>
      </c>
      <c r="FQ43" s="20">
        <v>5.1646563396496323E-3</v>
      </c>
      <c r="FR43" s="20">
        <v>1.7340082717722433E-2</v>
      </c>
      <c r="FS43" s="20">
        <v>4.2546503933821653E-4</v>
      </c>
      <c r="FT43" s="20">
        <v>0.30189705706988962</v>
      </c>
      <c r="FU43" s="20">
        <v>2.1046991929542457E-3</v>
      </c>
      <c r="FV43" s="20">
        <v>2.5197212728818332E-2</v>
      </c>
      <c r="FW43" s="20">
        <v>3.9988463199022202E-4</v>
      </c>
      <c r="FX43" s="20" t="s">
        <v>134</v>
      </c>
      <c r="FY43" s="20" t="s">
        <v>134</v>
      </c>
      <c r="FZ43" s="20" t="s">
        <v>134</v>
      </c>
      <c r="GA43" s="20" t="s">
        <v>134</v>
      </c>
      <c r="GB43" s="20">
        <v>3.5189753535728084E-2</v>
      </c>
      <c r="GC43" s="20">
        <v>5.9744407342754761E-4</v>
      </c>
      <c r="GD43" s="20">
        <v>1.3427119942301335</v>
      </c>
      <c r="GE43" s="20">
        <v>1.8538015507990235E-2</v>
      </c>
      <c r="GF43" s="20">
        <v>1.2351154699707788E-2</v>
      </c>
      <c r="GG43" s="20">
        <v>1.1940793838845696E-4</v>
      </c>
      <c r="GH43" s="20" t="s">
        <v>134</v>
      </c>
      <c r="GI43" s="20" t="s">
        <v>134</v>
      </c>
      <c r="GJ43" s="20" t="s">
        <v>134</v>
      </c>
      <c r="GK43" s="20" t="s">
        <v>134</v>
      </c>
      <c r="GL43" s="20">
        <v>1.2308368212298295E-4</v>
      </c>
      <c r="GM43" s="20">
        <v>2.9661357117078899E-6</v>
      </c>
      <c r="GN43" s="20">
        <v>3.742580035275029E-5</v>
      </c>
      <c r="GO43" s="20">
        <v>1.1669958873143068E-6</v>
      </c>
      <c r="GP43" s="20">
        <v>8.8452407058347247E-5</v>
      </c>
      <c r="GQ43" s="20">
        <v>1.7992497980947193E-6</v>
      </c>
      <c r="GR43" s="20">
        <v>1.5482920892058983E-4</v>
      </c>
      <c r="GS43" s="20">
        <v>7.7754510590589501E-6</v>
      </c>
      <c r="GT43" s="20">
        <v>8.8904609892600091E-6</v>
      </c>
      <c r="GU43" s="20">
        <v>2.7808403448922154E-7</v>
      </c>
      <c r="GV43" s="20">
        <v>2.3630352822452952E-3</v>
      </c>
      <c r="GW43" s="20">
        <v>2.8607508018604247E-5</v>
      </c>
      <c r="GX43" s="20" t="s">
        <v>134</v>
      </c>
      <c r="GY43" s="20" t="s">
        <v>134</v>
      </c>
      <c r="GZ43" s="20" t="s">
        <v>134</v>
      </c>
      <c r="HA43" s="20" t="s">
        <v>134</v>
      </c>
      <c r="HB43" s="20" t="s">
        <v>134</v>
      </c>
      <c r="HC43" s="20" t="s">
        <v>134</v>
      </c>
      <c r="HD43" s="20" t="s">
        <v>134</v>
      </c>
      <c r="HE43" s="20" t="s">
        <v>134</v>
      </c>
      <c r="HF43" s="20" t="s">
        <v>134</v>
      </c>
      <c r="HG43" s="20" t="s">
        <v>134</v>
      </c>
      <c r="HH43" s="20" t="s">
        <v>134</v>
      </c>
      <c r="HI43" s="20" t="s">
        <v>134</v>
      </c>
      <c r="HJ43" s="20">
        <v>2.8691973646601666E-6</v>
      </c>
      <c r="HK43" s="20">
        <v>6.6372165784321748E-8</v>
      </c>
      <c r="HL43" s="20">
        <v>9.8762269617885855E-4</v>
      </c>
      <c r="HM43" s="20">
        <v>1.2074253006505224E-5</v>
      </c>
      <c r="HN43" s="20" t="s">
        <v>134</v>
      </c>
      <c r="HO43" s="20" t="s">
        <v>134</v>
      </c>
      <c r="HP43" s="20" t="s">
        <v>134</v>
      </c>
      <c r="HQ43" s="20" t="s">
        <v>134</v>
      </c>
      <c r="HR43" s="20" t="s">
        <v>134</v>
      </c>
      <c r="HS43" s="20" t="s">
        <v>134</v>
      </c>
      <c r="HT43" s="20" t="s">
        <v>134</v>
      </c>
      <c r="HU43" s="20" t="s">
        <v>134</v>
      </c>
      <c r="HV43" s="20">
        <v>7.3759985865205231E-3</v>
      </c>
      <c r="HW43" s="20">
        <v>2.6487362852494996E-4</v>
      </c>
      <c r="HX43" s="20">
        <v>4.404713509768712E-5</v>
      </c>
      <c r="HY43" s="20">
        <v>9.757337788280401E-7</v>
      </c>
      <c r="HZ43" s="20" t="s">
        <v>134</v>
      </c>
      <c r="IA43" s="20" t="s">
        <v>134</v>
      </c>
      <c r="IB43" s="20">
        <v>0.59509328338573153</v>
      </c>
      <c r="IC43" s="20">
        <v>8.7319110435986284E-3</v>
      </c>
      <c r="ID43" s="20">
        <v>7.5051160373355073</v>
      </c>
      <c r="IE43" s="20">
        <v>0.20272707655529745</v>
      </c>
      <c r="IF43" s="20">
        <v>2.9284634384537961E-2</v>
      </c>
      <c r="IG43" s="20">
        <v>6.4171619158312852E-3</v>
      </c>
      <c r="IH43" s="20">
        <v>0.1477986599584655</v>
      </c>
      <c r="II43" s="20">
        <v>1.2957337389433629E-2</v>
      </c>
      <c r="IJ43" s="20">
        <v>0.39365005827011823</v>
      </c>
      <c r="IK43" s="20">
        <v>3.3272571285575717E-2</v>
      </c>
      <c r="IL43" s="20">
        <v>3.6770831607329635E-2</v>
      </c>
      <c r="IM43" s="20">
        <v>7.814914250165594E-3</v>
      </c>
      <c r="IN43" s="20">
        <v>3.5192099901627293E-3</v>
      </c>
      <c r="IO43" s="20">
        <v>6.0377722031402863E-4</v>
      </c>
      <c r="IP43" s="20">
        <v>3.7589573453078666E-2</v>
      </c>
      <c r="IQ43" s="20">
        <v>9.1156918261858463E-4</v>
      </c>
      <c r="IR43" s="20">
        <v>3.4586902957848922E-3</v>
      </c>
      <c r="IS43" s="20">
        <v>7.2760226855130396E-4</v>
      </c>
      <c r="IT43" s="20">
        <v>4.9954333897174658E-2</v>
      </c>
      <c r="IU43" s="20">
        <v>1.1447197257550978E-2</v>
      </c>
      <c r="IV43" s="20">
        <v>0.47516270627250118</v>
      </c>
      <c r="IW43" s="20">
        <v>4.8767592144928259E-3</v>
      </c>
      <c r="IX43" s="20">
        <v>5.962131816708402E-2</v>
      </c>
      <c r="IY43" s="20">
        <v>8.0924882035944175E-3</v>
      </c>
      <c r="IZ43" s="20">
        <v>4.4978061624768653E-2</v>
      </c>
      <c r="JA43" s="20">
        <v>2.0373409903158874E-3</v>
      </c>
      <c r="JB43" s="20">
        <v>5.1446528114400453E-2</v>
      </c>
      <c r="JC43" s="20">
        <v>1.4546893447375685E-3</v>
      </c>
      <c r="JD43" s="20">
        <v>2.3616778140775397E-3</v>
      </c>
      <c r="JE43" s="20">
        <v>7.1653677523702078E-4</v>
      </c>
      <c r="JF43" s="20">
        <v>0.15184785231083553</v>
      </c>
      <c r="JG43" s="20">
        <v>1.9261130577463369E-3</v>
      </c>
      <c r="JH43" s="20">
        <v>6.3008610710083776E-3</v>
      </c>
      <c r="JI43" s="20">
        <v>2.0500674283267261E-3</v>
      </c>
      <c r="JJ43" s="20" t="s">
        <v>134</v>
      </c>
      <c r="JK43" s="20" t="s">
        <v>134</v>
      </c>
      <c r="JL43" s="20">
        <v>2.6304952106487333E-3</v>
      </c>
      <c r="JM43" s="20">
        <v>3.0758536932523633E-4</v>
      </c>
      <c r="JN43" s="20">
        <v>1.8317220504278885E-2</v>
      </c>
      <c r="JO43" s="20">
        <v>4.6226774830341536E-4</v>
      </c>
      <c r="JP43" s="20">
        <v>2.9804727882966682E-2</v>
      </c>
      <c r="JQ43" s="20">
        <v>6.0913000409189245E-4</v>
      </c>
      <c r="JR43" s="20">
        <v>6.6284086746975723E-5</v>
      </c>
      <c r="JS43" s="20">
        <v>3.9614659429002859E-4</v>
      </c>
      <c r="JT43" s="20" t="s">
        <v>134</v>
      </c>
      <c r="JU43" s="20" t="s">
        <v>134</v>
      </c>
      <c r="JV43" s="20" t="s">
        <v>134</v>
      </c>
      <c r="JW43" s="20" t="s">
        <v>134</v>
      </c>
      <c r="JX43" s="20">
        <v>5.0248256783335275E-3</v>
      </c>
      <c r="JY43" s="20">
        <v>3.6747830803260351E-4</v>
      </c>
      <c r="JZ43" s="20" t="s">
        <v>134</v>
      </c>
      <c r="KA43" s="20" t="s">
        <v>134</v>
      </c>
      <c r="KB43" s="20">
        <v>4.8704661344789749E-2</v>
      </c>
      <c r="KC43" s="20">
        <v>6.31860976141801E-4</v>
      </c>
      <c r="KD43" s="20">
        <v>2.8120936224787079E-4</v>
      </c>
      <c r="KE43" s="20">
        <v>9.4845779687172831E-6</v>
      </c>
      <c r="KF43" s="20">
        <v>1.6010761338144632E-2</v>
      </c>
      <c r="KG43" s="20">
        <v>7.6701402576426726E-5</v>
      </c>
      <c r="KH43" s="20" t="s">
        <v>134</v>
      </c>
      <c r="KI43" s="20" t="s">
        <v>134</v>
      </c>
      <c r="KJ43" s="20">
        <v>1.4844302660059472E-4</v>
      </c>
      <c r="KK43" s="20">
        <v>1.257433815736065E-4</v>
      </c>
      <c r="KL43" s="20">
        <v>4.780171768427798</v>
      </c>
      <c r="KM43" s="20">
        <v>4.680766136438759E-2</v>
      </c>
      <c r="KN43" s="20">
        <v>7.9299229334242709E-3</v>
      </c>
      <c r="KO43" s="20">
        <v>1.6757811419875447E-4</v>
      </c>
      <c r="KP43" s="46">
        <v>2.8768255676315524E-3</v>
      </c>
      <c r="KQ43" s="46">
        <v>2.8768255676315294E-3</v>
      </c>
      <c r="KR43" s="16">
        <v>1.0042066415581621</v>
      </c>
      <c r="KS43" s="16">
        <v>30.257550152398867</v>
      </c>
      <c r="KT43" s="16">
        <v>1.8812084331238117E-2</v>
      </c>
      <c r="KU43" s="16">
        <v>37.320927689043671</v>
      </c>
      <c r="KV43" s="16">
        <v>7.0411282183899304E-2</v>
      </c>
      <c r="KW43" s="16">
        <v>1.1123020586870465</v>
      </c>
      <c r="KX43" s="16">
        <v>5.4608465375762992E-2</v>
      </c>
      <c r="KY43" s="16">
        <v>1.0282428287864536</v>
      </c>
      <c r="KZ43" s="16">
        <v>5.6783095854475744E-3</v>
      </c>
      <c r="LA43" s="16">
        <v>1.4157895660702136</v>
      </c>
      <c r="LB43" s="16">
        <v>1.9218013663950958E-3</v>
      </c>
      <c r="LC43" s="18">
        <v>0.14866837063956059</v>
      </c>
      <c r="LD43" s="18">
        <v>3.1636937107651819E-3</v>
      </c>
      <c r="LE43" s="16">
        <v>29.426463579725858</v>
      </c>
      <c r="LF43" s="16">
        <v>0.16352967246319186</v>
      </c>
      <c r="LG43" s="16">
        <v>26.360504826034866</v>
      </c>
      <c r="LH43" s="16">
        <v>6.126747646725534E-2</v>
      </c>
      <c r="LI43" s="16">
        <v>7.481766658920141</v>
      </c>
      <c r="LJ43" s="16">
        <v>0.40033855136328916</v>
      </c>
      <c r="LK43" s="16">
        <v>-26.498093900000001</v>
      </c>
      <c r="LL43" s="16">
        <v>0</v>
      </c>
      <c r="LM43" s="16">
        <v>-25.464550735000003</v>
      </c>
      <c r="LN43" s="16">
        <v>1.0140229440268317E-2</v>
      </c>
      <c r="LO43" s="16">
        <v>-25.37993951</v>
      </c>
      <c r="LP43" s="16">
        <v>2.8057714234769365E-2</v>
      </c>
      <c r="LQ43" s="21">
        <v>184.02070302644626</v>
      </c>
      <c r="LR43" s="21">
        <v>2.9</v>
      </c>
      <c r="LS43" s="21">
        <v>-76.824869846694568</v>
      </c>
      <c r="LT43" s="21">
        <v>2.4</v>
      </c>
      <c r="LU43" s="21">
        <v>-383.07542494847547</v>
      </c>
      <c r="LV43" s="21">
        <v>1.2</v>
      </c>
      <c r="LW43" s="48">
        <v>1.1938000000000002</v>
      </c>
      <c r="LX43" s="48">
        <v>2.8999999999999998E-3</v>
      </c>
      <c r="LY43" s="52">
        <v>0.93079999999999996</v>
      </c>
      <c r="LZ43" s="52">
        <v>2.3999999999999998E-3</v>
      </c>
      <c r="MA43" s="51">
        <v>0.62202000000000002</v>
      </c>
      <c r="MB43" s="51">
        <v>1.1999999999999999E-3</v>
      </c>
      <c r="MC43" s="19" t="s">
        <v>307</v>
      </c>
      <c r="ME43" s="19">
        <v>575</v>
      </c>
      <c r="MF43" s="19">
        <v>25</v>
      </c>
      <c r="MG43" s="19">
        <v>3815</v>
      </c>
      <c r="MH43" s="19">
        <v>20</v>
      </c>
      <c r="MI43" s="18">
        <v>8.7045693892315021E-2</v>
      </c>
      <c r="MJ43" s="18">
        <v>5.4119085184546728E-5</v>
      </c>
      <c r="MK43" s="18">
        <v>0.10736579898356832</v>
      </c>
      <c r="ML43" s="18">
        <v>2.0256097683635989E-4</v>
      </c>
      <c r="MM43" s="18">
        <v>1.1169811147523487</v>
      </c>
      <c r="MN43" s="18">
        <v>5.4838183615640128E-2</v>
      </c>
      <c r="MO43" s="46">
        <v>2.9580752595866626E-3</v>
      </c>
      <c r="MP43" s="46">
        <v>1.6335506196342904E-5</v>
      </c>
      <c r="MQ43" s="46">
        <v>4.0729796220567386E-3</v>
      </c>
      <c r="MR43" s="46">
        <v>5.5286873067546204E-6</v>
      </c>
      <c r="MS43" s="18">
        <v>0.14929376518587723</v>
      </c>
      <c r="MT43" s="18">
        <v>3.177002236206183E-3</v>
      </c>
    </row>
    <row r="44" spans="1:358" s="14" customFormat="1">
      <c r="A44" s="14" t="s">
        <v>131</v>
      </c>
      <c r="B44" s="14" t="s">
        <v>76</v>
      </c>
      <c r="C44" s="14" t="s">
        <v>77</v>
      </c>
      <c r="D44" s="14">
        <v>49.5</v>
      </c>
      <c r="E44" s="16">
        <v>1</v>
      </c>
      <c r="F44" s="18">
        <v>0.45996760343205539</v>
      </c>
      <c r="G44" s="19">
        <v>19.917253313608171</v>
      </c>
      <c r="H44" s="19">
        <v>55.488644369365062</v>
      </c>
      <c r="I44" s="19">
        <v>24.594102317026763</v>
      </c>
      <c r="Q44" s="16">
        <v>1.4275</v>
      </c>
      <c r="R44" s="16">
        <v>6.3639610306788549E-3</v>
      </c>
      <c r="S44" s="16">
        <v>0</v>
      </c>
      <c r="T44" s="16">
        <v>7.0710678118651867E-6</v>
      </c>
      <c r="AA44" s="15">
        <v>2.5644024772873052E-2</v>
      </c>
      <c r="AB44" s="15">
        <v>6.2905505011766243E-3</v>
      </c>
      <c r="AC44" s="15">
        <v>5.4087611947117933E-2</v>
      </c>
      <c r="AD44" s="15">
        <v>3.9390951331869494E-3</v>
      </c>
      <c r="AE44" s="20">
        <v>3.0353915170562483E-2</v>
      </c>
      <c r="AF44" s="20">
        <v>1.3227167125387404E-4</v>
      </c>
      <c r="AG44" s="20">
        <v>7.3382820364515447E-2</v>
      </c>
      <c r="AH44" s="20">
        <v>3.4211971835875502E-4</v>
      </c>
      <c r="AI44" s="20">
        <v>4.3784942216754233E-2</v>
      </c>
      <c r="AJ44" s="20">
        <v>1.1640644476451194E-3</v>
      </c>
      <c r="AK44" s="20">
        <v>2.4295237408891498E-3</v>
      </c>
      <c r="AL44" s="20">
        <v>2.1332681276190766E-6</v>
      </c>
      <c r="AM44" s="20">
        <v>9.3210552551775031E-2</v>
      </c>
      <c r="AN44" s="20">
        <v>4.1001244526336239E-4</v>
      </c>
      <c r="AO44" s="20">
        <v>0.10289257243352365</v>
      </c>
      <c r="AP44" s="20">
        <v>6.9077616129941252E-3</v>
      </c>
      <c r="AQ44" s="20">
        <v>1.0611161842271222E-2</v>
      </c>
      <c r="AR44" s="20">
        <v>1.2040314439988186E-4</v>
      </c>
      <c r="AS44" s="20">
        <v>8.6652618312068521E-3</v>
      </c>
      <c r="AT44" s="20">
        <v>6.9212520644077412E-6</v>
      </c>
      <c r="AU44" s="20">
        <v>1.4475857398535047E-2</v>
      </c>
      <c r="AV44" s="20">
        <v>1.4247911324020122E-4</v>
      </c>
      <c r="AW44" s="20">
        <v>9.546820140804279E-3</v>
      </c>
      <c r="AX44" s="20">
        <v>1.6949013099049724E-5</v>
      </c>
      <c r="AY44" s="20">
        <v>5.5939122101788573E-3</v>
      </c>
      <c r="AZ44" s="20">
        <v>2.3545239508213025E-6</v>
      </c>
      <c r="BA44" s="20">
        <v>1.6695734502564423E-3</v>
      </c>
      <c r="BB44" s="20">
        <v>5.3345750418150694E-6</v>
      </c>
      <c r="BC44" s="20">
        <v>0.12408388015515816</v>
      </c>
      <c r="BD44" s="20">
        <v>4.8742922667156753E-4</v>
      </c>
      <c r="BE44" s="20">
        <v>8.8852404154741049E-2</v>
      </c>
      <c r="BF44" s="20">
        <v>3.1642384676420707E-4</v>
      </c>
      <c r="BG44" s="20">
        <v>1.9958763651221798E-6</v>
      </c>
      <c r="BH44" s="67">
        <v>9.8175078985737645E-9</v>
      </c>
      <c r="BI44" s="20">
        <v>3.7122171783008528E-2</v>
      </c>
      <c r="BJ44" s="20">
        <v>3.3199765898695836E-5</v>
      </c>
      <c r="BK44" s="20">
        <v>2.766398077698725E-2</v>
      </c>
      <c r="BL44" s="20">
        <v>1.855305013716011E-5</v>
      </c>
      <c r="BM44" s="20">
        <v>8.0695519328385888E-3</v>
      </c>
      <c r="BN44" s="20">
        <v>4.1056229296609015E-6</v>
      </c>
      <c r="BO44" s="20" t="s">
        <v>134</v>
      </c>
      <c r="BP44" s="20" t="s">
        <v>135</v>
      </c>
      <c r="BQ44" s="20">
        <v>6.2086449640258272E-4</v>
      </c>
      <c r="BR44" s="20">
        <v>5.0876250606492354E-7</v>
      </c>
      <c r="BS44" s="20">
        <v>2.2479783088466773E-3</v>
      </c>
      <c r="BT44" s="20">
        <v>1.2159445475518043E-4</v>
      </c>
      <c r="BU44" s="20">
        <v>4.4897360125439059E-2</v>
      </c>
      <c r="BV44" s="20">
        <v>8.6601596167567881E-6</v>
      </c>
      <c r="BY44" s="15"/>
      <c r="BZ44" s="18"/>
      <c r="CA44" s="18"/>
      <c r="CB44" s="18"/>
      <c r="KR44" s="16"/>
    </row>
    <row r="45" spans="1:358" s="14" customFormat="1">
      <c r="A45" s="14" t="s">
        <v>131</v>
      </c>
      <c r="B45" s="14" t="s">
        <v>78</v>
      </c>
      <c r="C45" s="14" t="s">
        <v>79</v>
      </c>
      <c r="D45" s="14">
        <v>58.5</v>
      </c>
      <c r="E45" s="16">
        <v>1</v>
      </c>
      <c r="F45" s="18">
        <v>0.37684086567756875</v>
      </c>
      <c r="G45" s="19">
        <v>31.833775930292958</v>
      </c>
      <c r="H45" s="19">
        <v>56.400196650545624</v>
      </c>
      <c r="I45" s="19">
        <v>11.76602741916142</v>
      </c>
      <c r="Q45" s="16">
        <v>2.0049000000000001</v>
      </c>
      <c r="R45" s="16">
        <v>7.1998055529298985E-2</v>
      </c>
      <c r="S45" s="16">
        <v>0.21460000000000001</v>
      </c>
      <c r="T45" s="16">
        <v>1.6829141392239844E-2</v>
      </c>
      <c r="AA45" s="15">
        <v>8.160684390037734E-2</v>
      </c>
      <c r="AB45" s="15">
        <v>1.6922459324954665E-3</v>
      </c>
      <c r="AC45" s="15">
        <v>3.6978006410109315E-2</v>
      </c>
      <c r="AD45" s="15">
        <v>4.7736918463892738E-3</v>
      </c>
      <c r="AE45" s="20">
        <v>6.572048874972318E-2</v>
      </c>
      <c r="AF45" s="20">
        <v>1.5884098503373089E-2</v>
      </c>
      <c r="AG45" s="20">
        <v>7.4491256952649146E-2</v>
      </c>
      <c r="AH45" s="20">
        <v>5.7945889866645064E-4</v>
      </c>
      <c r="AI45" s="20">
        <v>4.1219900307937589E-2</v>
      </c>
      <c r="AJ45" s="20">
        <v>4.7461816781090894E-4</v>
      </c>
      <c r="AK45" s="20">
        <v>1.4883117651237282E-3</v>
      </c>
      <c r="AL45" s="20">
        <v>1.4314930728136894E-5</v>
      </c>
      <c r="AM45" s="20">
        <v>0.17811144064481932</v>
      </c>
      <c r="AN45" s="20">
        <v>4.0162558302118838E-2</v>
      </c>
      <c r="AO45" s="20">
        <v>7.9390199814707962E-2</v>
      </c>
      <c r="AP45" s="20">
        <v>8.0655016871440006E-3</v>
      </c>
      <c r="AQ45" s="20">
        <v>1.4963923580477847E-2</v>
      </c>
      <c r="AR45" s="20">
        <v>2.7725457786128492E-4</v>
      </c>
      <c r="AS45" s="20">
        <v>1.0912520010972031E-2</v>
      </c>
      <c r="AT45" s="20">
        <v>8.9219088749263107E-5</v>
      </c>
      <c r="AU45" s="20">
        <v>2.7103551351283558E-2</v>
      </c>
      <c r="AV45" s="20">
        <v>1.2814340165258068E-4</v>
      </c>
      <c r="AW45" s="20">
        <v>2.5841395898495843E-2</v>
      </c>
      <c r="AX45" s="20">
        <v>1.4553389851989165E-4</v>
      </c>
      <c r="AY45" s="20">
        <v>4.3741131657669867E-3</v>
      </c>
      <c r="AZ45" s="20">
        <v>2.2128708667366857E-6</v>
      </c>
      <c r="BA45" s="20">
        <v>3.9302088439461084E-3</v>
      </c>
      <c r="BB45" s="20">
        <v>1.4489761647826312E-5</v>
      </c>
      <c r="BC45" s="20">
        <v>5.9958534934555073E-2</v>
      </c>
      <c r="BD45" s="20">
        <v>1.1458647920518841E-4</v>
      </c>
      <c r="BE45" s="20">
        <v>0.36505950463649789</v>
      </c>
      <c r="BF45" s="20">
        <v>1.045781321098415E-3</v>
      </c>
      <c r="BG45" s="20">
        <v>1.1528882724018208E-6</v>
      </c>
      <c r="BH45" s="67">
        <v>9.7341266232053464E-9</v>
      </c>
      <c r="BI45" s="20">
        <v>3.9482050129727633E-3</v>
      </c>
      <c r="BJ45" s="20">
        <v>2.1862000116341746E-5</v>
      </c>
      <c r="BK45" s="20">
        <v>2.7595717790800181E-2</v>
      </c>
      <c r="BL45" s="20">
        <v>6.5968987132527943E-5</v>
      </c>
      <c r="BM45" s="20">
        <v>2.0331656839787677E-2</v>
      </c>
      <c r="BN45" s="20">
        <v>4.3587948625805017E-4</v>
      </c>
      <c r="BO45" s="20" t="s">
        <v>134</v>
      </c>
      <c r="BP45" s="20" t="s">
        <v>135</v>
      </c>
      <c r="BQ45" s="20">
        <v>1.2521311201992415E-3</v>
      </c>
      <c r="BR45" s="20">
        <v>6.8452527247836524E-6</v>
      </c>
      <c r="BS45" s="20">
        <v>4.167775057811799E-3</v>
      </c>
      <c r="BT45" s="20">
        <v>6.8296300733167474E-4</v>
      </c>
      <c r="BU45" s="20">
        <v>7.8840732475312286E-2</v>
      </c>
      <c r="BV45" s="20">
        <v>1.205821980038244E-4</v>
      </c>
      <c r="BW45"/>
      <c r="BX45"/>
      <c r="BY45" s="15"/>
      <c r="BZ45" s="18"/>
      <c r="CA45" s="18"/>
      <c r="CB45" s="18"/>
      <c r="KR45" s="16"/>
    </row>
    <row r="46" spans="1:358" s="14" customFormat="1">
      <c r="A46" s="14" t="s">
        <v>131</v>
      </c>
      <c r="B46" s="14" t="s">
        <v>80</v>
      </c>
      <c r="C46" s="14" t="s">
        <v>81</v>
      </c>
      <c r="D46" s="14">
        <v>69.5</v>
      </c>
      <c r="E46" s="16">
        <v>1</v>
      </c>
      <c r="F46" s="18">
        <v>0.34405183434962755</v>
      </c>
      <c r="G46" s="19">
        <v>35.662673482427977</v>
      </c>
      <c r="H46" s="19">
        <v>48.013407028754159</v>
      </c>
      <c r="I46" s="19">
        <v>16.323919488817864</v>
      </c>
      <c r="Q46" s="16">
        <v>1.7014999999999998</v>
      </c>
      <c r="R46" s="16">
        <v>3.6769552621700466E-2</v>
      </c>
      <c r="S46" s="16">
        <v>0.46550000000000002</v>
      </c>
      <c r="T46" s="16">
        <v>3.3941125496954272E-2</v>
      </c>
      <c r="AA46" s="15">
        <v>0.23036179699795628</v>
      </c>
      <c r="AB46" s="15">
        <v>0.1032905774810632</v>
      </c>
      <c r="AC46" s="15">
        <v>4.1357106851936991E-2</v>
      </c>
      <c r="AD46" s="15">
        <v>1.9834903446490984E-3</v>
      </c>
      <c r="AE46" s="20">
        <v>5.7812676416535994E-2</v>
      </c>
      <c r="AF46" s="20">
        <v>1.7280168779360323E-4</v>
      </c>
      <c r="AG46" s="20">
        <v>6.4553731026946989E-2</v>
      </c>
      <c r="AH46" s="20">
        <v>1.2550449878708813E-3</v>
      </c>
      <c r="AI46" s="20">
        <v>3.9400642906381983E-2</v>
      </c>
      <c r="AJ46" s="20">
        <v>7.0298229484124799E-4</v>
      </c>
      <c r="AK46" s="20">
        <v>3.8889982348466814E-3</v>
      </c>
      <c r="AL46" s="20">
        <v>3.4127237078345129E-5</v>
      </c>
      <c r="AM46" s="20">
        <v>0.3024836293363477</v>
      </c>
      <c r="AN46" s="20">
        <v>5.9271379149922017E-3</v>
      </c>
      <c r="AO46" s="20">
        <v>0.14883069777398827</v>
      </c>
      <c r="AP46" s="20">
        <v>4.9228385232088297E-4</v>
      </c>
      <c r="AQ46" s="20">
        <v>1.3056930493040323E-2</v>
      </c>
      <c r="AR46" s="20">
        <v>7.3003676933035559E-4</v>
      </c>
      <c r="AS46" s="20">
        <v>9.2289955476327935E-3</v>
      </c>
      <c r="AT46" s="20">
        <v>8.7278377724736119E-5</v>
      </c>
      <c r="AU46" s="20">
        <v>1.9618233656046369E-2</v>
      </c>
      <c r="AV46" s="20">
        <v>5.4228588921566824E-5</v>
      </c>
      <c r="AW46" s="20">
        <v>1.5760438360506009E-2</v>
      </c>
      <c r="AX46" s="20">
        <v>1.4016146546629832E-4</v>
      </c>
      <c r="AY46" s="20">
        <v>5.5673158539640728E-3</v>
      </c>
      <c r="AZ46" s="20">
        <v>2.0915380843718773E-5</v>
      </c>
      <c r="BA46" s="20">
        <v>3.5228013607371536E-3</v>
      </c>
      <c r="BB46" s="20">
        <v>6.4931991947410522E-7</v>
      </c>
      <c r="BC46" s="20">
        <v>0.1864443615781555</v>
      </c>
      <c r="BD46" s="20">
        <v>2.076909620673032E-4</v>
      </c>
      <c r="BE46" s="20">
        <v>0.18966553759149779</v>
      </c>
      <c r="BF46" s="20">
        <v>9.2724601714078668E-4</v>
      </c>
      <c r="BG46" s="20">
        <v>1.5295759215352212E-6</v>
      </c>
      <c r="BH46" s="67">
        <v>8.5237419693019028E-10</v>
      </c>
      <c r="BI46" s="20">
        <v>2.0386547137793289E-2</v>
      </c>
      <c r="BJ46" s="20">
        <v>1.5505623024675524E-4</v>
      </c>
      <c r="BK46" s="20">
        <v>3.17077396116743E-2</v>
      </c>
      <c r="BL46" s="20">
        <v>1.4674409450286951E-4</v>
      </c>
      <c r="BM46" s="20">
        <v>1.4099019771136629E-2</v>
      </c>
      <c r="BN46" s="20">
        <v>6.9258379960389859E-5</v>
      </c>
      <c r="BO46" s="20" t="s">
        <v>134</v>
      </c>
      <c r="BP46" s="20" t="s">
        <v>135</v>
      </c>
      <c r="BQ46" s="20">
        <v>2.4870359394762493E-3</v>
      </c>
      <c r="BR46" s="20">
        <v>7.0433770683477668E-6</v>
      </c>
      <c r="BS46" s="20">
        <v>2.2563600640828374E-3</v>
      </c>
      <c r="BT46" s="20">
        <v>3.0594083349899328E-5</v>
      </c>
      <c r="BU46" s="20">
        <v>0.21499666601068479</v>
      </c>
      <c r="BV46" s="20">
        <v>3.228195740361493E-4</v>
      </c>
      <c r="BW46" s="60"/>
      <c r="BX46" s="60"/>
      <c r="BY46" s="15"/>
      <c r="BZ46" s="18"/>
      <c r="CA46" s="18"/>
      <c r="CB46" s="18"/>
      <c r="KR46" s="16"/>
    </row>
    <row r="47" spans="1:358" s="14" customFormat="1">
      <c r="A47" s="14" t="s">
        <v>131</v>
      </c>
      <c r="B47" s="14" t="s">
        <v>82</v>
      </c>
      <c r="C47" s="14" t="s">
        <v>83</v>
      </c>
      <c r="D47" s="14">
        <v>85</v>
      </c>
      <c r="E47" s="16">
        <v>0.99836640369750584</v>
      </c>
      <c r="F47" s="18">
        <v>0.45510364600512526</v>
      </c>
      <c r="G47" s="18"/>
      <c r="H47" s="18"/>
      <c r="I47" s="18"/>
      <c r="J47" s="16">
        <v>1.4998606805843844</v>
      </c>
      <c r="K47" s="16">
        <v>3.8357565772771399E-2</v>
      </c>
      <c r="L47" s="18">
        <v>0.16216401507875472</v>
      </c>
      <c r="M47" s="18">
        <v>1.3699285691880323E-3</v>
      </c>
      <c r="N47" s="16">
        <v>-25.567087179999998</v>
      </c>
      <c r="O47" s="18">
        <v>2.7306201147724515E-2</v>
      </c>
      <c r="P47" s="21">
        <f>J47/L47</f>
        <v>9.2490351811773976</v>
      </c>
      <c r="Q47" s="16">
        <v>1.6925999999999999</v>
      </c>
      <c r="R47" s="16">
        <v>6.0000000000000053E-3</v>
      </c>
      <c r="S47" s="16">
        <v>3.44E-2</v>
      </c>
      <c r="T47" s="16">
        <v>4.2426406871192892E-3</v>
      </c>
      <c r="U47" s="15">
        <v>0.66350057762602932</v>
      </c>
      <c r="V47" s="15">
        <v>2.2358209794083876E-3</v>
      </c>
      <c r="W47" s="21">
        <v>-341.85503906676371</v>
      </c>
      <c r="X47" s="21">
        <v>2.2358209794083876</v>
      </c>
      <c r="Y47" s="14">
        <v>3295</v>
      </c>
      <c r="Z47" s="14">
        <v>30</v>
      </c>
      <c r="AA47" s="15">
        <v>7.3085181115665865E-2</v>
      </c>
      <c r="AB47" s="15">
        <v>1.4481276323810207E-2</v>
      </c>
      <c r="AC47" s="15">
        <v>6.0942330393354047E-2</v>
      </c>
      <c r="AD47" s="15">
        <v>7.6124492287006898E-3</v>
      </c>
      <c r="AE47" s="20">
        <v>5.4466100430134473E-2</v>
      </c>
      <c r="AF47" s="20">
        <v>5.7667028782158103E-3</v>
      </c>
      <c r="AG47" s="20">
        <v>8.129127641283064E-2</v>
      </c>
      <c r="AH47" s="20">
        <v>1.9581525096899989E-3</v>
      </c>
      <c r="AI47" s="20">
        <v>4.5840923855689858E-2</v>
      </c>
      <c r="AJ47" s="20">
        <v>1.8156802088581782E-3</v>
      </c>
      <c r="AK47" s="20">
        <v>3.0333571564893046E-3</v>
      </c>
      <c r="AL47" s="20">
        <v>2.0621374727029904E-4</v>
      </c>
      <c r="AM47" s="20">
        <v>0.17484553091777283</v>
      </c>
      <c r="AN47" s="20">
        <v>4.7293289148028016E-2</v>
      </c>
      <c r="AO47" s="20">
        <v>0.10638030150161012</v>
      </c>
      <c r="AP47" s="20">
        <v>3.4290369573318925E-3</v>
      </c>
      <c r="AQ47" s="20">
        <v>1.3294474690267243E-2</v>
      </c>
      <c r="AR47" s="20">
        <v>9.3698307634034286E-4</v>
      </c>
      <c r="AS47" s="20">
        <v>1.1318621503765156E-2</v>
      </c>
      <c r="AT47" s="20">
        <v>5.1646083563120392E-5</v>
      </c>
      <c r="AU47" s="20">
        <v>2.3498004563754362E-2</v>
      </c>
      <c r="AV47" s="20">
        <v>1.0527803245159883E-4</v>
      </c>
      <c r="AW47" s="20">
        <v>1.6601523529631328E-2</v>
      </c>
      <c r="AX47" s="20">
        <v>2.7172528507874451E-6</v>
      </c>
      <c r="AY47" s="20">
        <v>3.4632659436492036E-3</v>
      </c>
      <c r="AZ47" s="20">
        <v>1.9581269688953005E-5</v>
      </c>
      <c r="BA47" s="20">
        <v>4.8982960762692426E-3</v>
      </c>
      <c r="BB47" s="20">
        <v>8.9780623108324406E-6</v>
      </c>
      <c r="BC47" s="20">
        <v>7.463900289259931E-2</v>
      </c>
      <c r="BD47" s="20">
        <v>7.29955940121405E-4</v>
      </c>
      <c r="BE47" s="20">
        <v>0.27379910966229215</v>
      </c>
      <c r="BF47" s="20">
        <v>9.6971063418725272E-5</v>
      </c>
      <c r="BG47" s="20">
        <v>1.7037544704212912E-6</v>
      </c>
      <c r="BH47" s="67">
        <v>3.0410282523891277E-8</v>
      </c>
      <c r="BI47" s="20">
        <v>1.1563479327033124E-2</v>
      </c>
      <c r="BJ47" s="20">
        <v>1.9043768894038107E-6</v>
      </c>
      <c r="BK47" s="20">
        <v>3.2428666574619985E-2</v>
      </c>
      <c r="BL47" s="20">
        <v>1.1012022108344046E-4</v>
      </c>
      <c r="BM47" s="20">
        <v>9.8258984107478051E-3</v>
      </c>
      <c r="BN47" s="20">
        <v>2.6444080113621625E-6</v>
      </c>
      <c r="BO47" s="20" t="s">
        <v>134</v>
      </c>
      <c r="BP47" s="20" t="s">
        <v>135</v>
      </c>
      <c r="BQ47" s="20">
        <v>2.3026660712110922E-3</v>
      </c>
      <c r="BR47" s="20">
        <v>4.5145120078788058E-6</v>
      </c>
      <c r="BS47" s="20" t="s">
        <v>134</v>
      </c>
      <c r="BT47" s="20" t="s">
        <v>135</v>
      </c>
      <c r="BU47" s="20">
        <v>0.10303926499445379</v>
      </c>
      <c r="BV47" s="20">
        <v>2.2746404681062596E-4</v>
      </c>
      <c r="BW47" s="18">
        <v>0.23758034337387718</v>
      </c>
      <c r="BX47" s="18">
        <v>1.0210863388201175E-2</v>
      </c>
      <c r="BY47" s="15">
        <v>6.5464080236646528E-3</v>
      </c>
      <c r="BZ47" s="18">
        <v>0.19411982873604045</v>
      </c>
      <c r="CA47" s="18">
        <v>0.13174327207041994</v>
      </c>
      <c r="CB47" s="18">
        <v>2.9730857321302588E-2</v>
      </c>
      <c r="CC47" s="15">
        <v>7.9541459112620214E-2</v>
      </c>
      <c r="CD47" s="16">
        <v>3.6625154953640751</v>
      </c>
      <c r="CE47" s="16">
        <v>5.7848482492301097</v>
      </c>
      <c r="CF47" s="21">
        <v>-92.495440384320446</v>
      </c>
      <c r="CG47" s="21">
        <v>2.5</v>
      </c>
      <c r="CH47" s="21">
        <v>-67.997776316006565</v>
      </c>
      <c r="CI47" s="21">
        <v>2.5</v>
      </c>
      <c r="CJ47" s="21">
        <v>-331.81877397477234</v>
      </c>
      <c r="CK47" s="21">
        <v>1.7000000000000002</v>
      </c>
      <c r="CL47" s="15">
        <v>0.91500000000000004</v>
      </c>
      <c r="CM47" s="15">
        <v>2.5000000000000001E-3</v>
      </c>
      <c r="CN47" s="15">
        <v>0.93969999999999998</v>
      </c>
      <c r="CO47" s="15">
        <v>2.5000000000000001E-3</v>
      </c>
      <c r="CP47" s="15">
        <v>0.67370000000000008</v>
      </c>
      <c r="CQ47" s="15">
        <v>1.7000000000000001E-3</v>
      </c>
      <c r="CR47" s="19">
        <v>715</v>
      </c>
      <c r="CS47" s="19">
        <v>25</v>
      </c>
      <c r="CT47" s="19">
        <v>500</v>
      </c>
      <c r="CU47" s="19">
        <v>25</v>
      </c>
      <c r="CV47" s="19">
        <v>3175</v>
      </c>
      <c r="CW47" s="19">
        <v>25</v>
      </c>
      <c r="CX47" s="20">
        <v>5.6111946055784233E-10</v>
      </c>
      <c r="CY47" s="20">
        <v>3.4402165119134137E-10</v>
      </c>
      <c r="CZ47" s="20">
        <v>-1.0945809765259634E-7</v>
      </c>
      <c r="DA47" s="20">
        <v>4.012023562800283E-8</v>
      </c>
      <c r="DB47" s="20">
        <v>1.1886135501818728E-6</v>
      </c>
      <c r="DC47" s="20">
        <v>1.7547749813181086E-8</v>
      </c>
      <c r="DD47" s="20">
        <v>1.4916513080457923E-8</v>
      </c>
      <c r="DE47" s="20">
        <v>2.1836751335113007E-9</v>
      </c>
      <c r="DF47" s="20">
        <v>5.3266818119899566E-7</v>
      </c>
      <c r="DG47" s="20">
        <v>2.3696498878228488E-8</v>
      </c>
      <c r="DH47" s="20">
        <v>2.844911259448718E-8</v>
      </c>
      <c r="DI47" s="20">
        <v>1.9704547741688665E-9</v>
      </c>
      <c r="DJ47" s="20">
        <v>1.0283944308323501E-10</v>
      </c>
      <c r="DK47" s="20">
        <v>2.4379513025160197E-12</v>
      </c>
      <c r="DL47" s="20" t="s">
        <v>134</v>
      </c>
      <c r="DM47" s="20" t="s">
        <v>134</v>
      </c>
      <c r="DN47" s="20">
        <v>6.3707777319263952E-8</v>
      </c>
      <c r="DO47" s="20">
        <v>1.2198864584742558E-9</v>
      </c>
      <c r="DP47" s="20">
        <v>6.4459223700017839E-6</v>
      </c>
      <c r="DQ47" s="20">
        <v>7.9510668449903697E-8</v>
      </c>
      <c r="DR47" s="20">
        <v>6.3780238361661386E-8</v>
      </c>
      <c r="DS47" s="20">
        <v>1.4705536316904295E-9</v>
      </c>
      <c r="DT47" s="20" t="s">
        <v>134</v>
      </c>
      <c r="DU47" s="20" t="s">
        <v>134</v>
      </c>
      <c r="DV47" s="20" t="s">
        <v>134</v>
      </c>
      <c r="DW47" s="20" t="s">
        <v>134</v>
      </c>
      <c r="DX47" s="20">
        <v>3.6361879469257868E-10</v>
      </c>
      <c r="DY47" s="20">
        <v>1.300208473605975E-11</v>
      </c>
      <c r="DZ47" s="20" t="s">
        <v>134</v>
      </c>
      <c r="EA47" s="20" t="s">
        <v>134</v>
      </c>
      <c r="EB47" s="20">
        <v>-3.4175682681980139E-11</v>
      </c>
      <c r="EC47" s="20">
        <v>1.2796816238207107E-11</v>
      </c>
      <c r="ED47" s="20">
        <v>-3.7479569865202571E-10</v>
      </c>
      <c r="EE47" s="20">
        <v>4.6123456565224729E-11</v>
      </c>
      <c r="EF47" s="20" t="s">
        <v>134</v>
      </c>
      <c r="EG47" s="20" t="s">
        <v>134</v>
      </c>
      <c r="EH47" s="20">
        <v>1.0216062248217923E-8</v>
      </c>
      <c r="EI47" s="20">
        <v>1.1460103919293663E-10</v>
      </c>
      <c r="EJ47" s="20" t="s">
        <v>134</v>
      </c>
      <c r="EK47" s="20" t="s">
        <v>134</v>
      </c>
      <c r="EL47" s="20">
        <v>6.9464631216590655E-10</v>
      </c>
      <c r="EM47" s="20">
        <v>1.0386608724342872E-11</v>
      </c>
      <c r="EN47" s="20" t="s">
        <v>134</v>
      </c>
      <c r="EO47" s="20" t="s">
        <v>134</v>
      </c>
      <c r="EP47" s="20" t="s">
        <v>134</v>
      </c>
      <c r="EQ47" s="20" t="s">
        <v>134</v>
      </c>
      <c r="ER47" s="20" t="s">
        <v>134</v>
      </c>
      <c r="ES47" s="20" t="s">
        <v>134</v>
      </c>
      <c r="ET47" s="20" t="s">
        <v>134</v>
      </c>
      <c r="EU47" s="20" t="s">
        <v>134</v>
      </c>
      <c r="EV47" s="20" t="s">
        <v>134</v>
      </c>
      <c r="EW47" s="20" t="s">
        <v>134</v>
      </c>
      <c r="EX47" s="20">
        <v>3.5694020397950314E-9</v>
      </c>
      <c r="EY47" s="20">
        <v>3.126179696384844E-11</v>
      </c>
      <c r="EZ47" s="20" t="s">
        <v>134</v>
      </c>
      <c r="FA47" s="20" t="s">
        <v>134</v>
      </c>
      <c r="FB47" s="20">
        <v>-7.6906171313200787E-11</v>
      </c>
      <c r="FC47" s="20">
        <v>1.7842469224303984E-12</v>
      </c>
      <c r="FD47" s="20" t="s">
        <v>134</v>
      </c>
      <c r="FE47" s="20" t="s">
        <v>134</v>
      </c>
      <c r="FF47" s="20" t="s">
        <v>134</v>
      </c>
      <c r="FG47" s="20" t="s">
        <v>134</v>
      </c>
      <c r="FH47" s="20">
        <v>1.4256436111211535E-8</v>
      </c>
      <c r="FI47" s="20">
        <v>1.2318500573161123E-9</v>
      </c>
      <c r="FJ47" s="20">
        <v>3.6971908840717452E-10</v>
      </c>
      <c r="FK47" s="20">
        <v>9.5987515856616345E-12</v>
      </c>
      <c r="FL47" s="20">
        <v>9.8678504777191122E-4</v>
      </c>
      <c r="FM47" s="20">
        <v>3.6515875813356929E-5</v>
      </c>
      <c r="FN47" s="20">
        <v>0.37790263306389626</v>
      </c>
      <c r="FO47" s="20">
        <v>3.9014695620389543E-3</v>
      </c>
      <c r="FP47" s="20">
        <v>0.18180657408162601</v>
      </c>
      <c r="FQ47" s="20">
        <v>2.680347319981144E-3</v>
      </c>
      <c r="FR47" s="20">
        <v>1.1519109327843249E-2</v>
      </c>
      <c r="FS47" s="20">
        <v>2.7144381194463073E-4</v>
      </c>
      <c r="FT47" s="20">
        <v>0.18302478605938682</v>
      </c>
      <c r="FU47" s="20">
        <v>3.2928739541436746E-3</v>
      </c>
      <c r="FV47" s="20">
        <v>1.3939561126376123E-2</v>
      </c>
      <c r="FW47" s="20">
        <v>2.5393073210043049E-4</v>
      </c>
      <c r="FX47" s="20">
        <v>1.5709293204988146E-5</v>
      </c>
      <c r="FY47" s="20">
        <v>3.7241053318141091E-7</v>
      </c>
      <c r="FZ47" s="20" t="s">
        <v>134</v>
      </c>
      <c r="GA47" s="20" t="s">
        <v>134</v>
      </c>
      <c r="GB47" s="20">
        <v>9.7317150243257516E-3</v>
      </c>
      <c r="GC47" s="20">
        <v>1.8634439742595945E-4</v>
      </c>
      <c r="GD47" s="20">
        <v>0.98745176344960639</v>
      </c>
      <c r="GE47" s="20">
        <v>1.2145472512923739E-2</v>
      </c>
      <c r="GF47" s="20">
        <v>9.7427838489598864E-3</v>
      </c>
      <c r="GG47" s="20">
        <v>2.2463519328072979E-4</v>
      </c>
      <c r="GH47" s="20" t="s">
        <v>134</v>
      </c>
      <c r="GI47" s="20" t="s">
        <v>134</v>
      </c>
      <c r="GJ47" s="20" t="s">
        <v>134</v>
      </c>
      <c r="GK47" s="20" t="s">
        <v>134</v>
      </c>
      <c r="GL47" s="20">
        <v>5.55447801875671E-5</v>
      </c>
      <c r="GM47" s="20">
        <v>1.9861402908371173E-6</v>
      </c>
      <c r="GN47" s="20" t="s">
        <v>134</v>
      </c>
      <c r="GO47" s="20" t="s">
        <v>134</v>
      </c>
      <c r="GP47" s="20">
        <v>5.5540324790734685E-5</v>
      </c>
      <c r="GQ47" s="20">
        <v>1.8377851154699736E-6</v>
      </c>
      <c r="GR47" s="20">
        <v>8.6141669723899846E-5</v>
      </c>
      <c r="GS47" s="20">
        <v>5.0460536327490111E-6</v>
      </c>
      <c r="GT47" s="20" t="s">
        <v>134</v>
      </c>
      <c r="GU47" s="20" t="s">
        <v>134</v>
      </c>
      <c r="GV47" s="20">
        <v>1.5605599607124722E-3</v>
      </c>
      <c r="GW47" s="20">
        <v>1.7505942003410815E-5</v>
      </c>
      <c r="GX47" s="20" t="s">
        <v>134</v>
      </c>
      <c r="GY47" s="20" t="s">
        <v>134</v>
      </c>
      <c r="GZ47" s="20">
        <v>1.0611106268580037E-4</v>
      </c>
      <c r="HA47" s="20">
        <v>1.5866118773526266E-6</v>
      </c>
      <c r="HB47" s="20" t="s">
        <v>134</v>
      </c>
      <c r="HC47" s="20" t="s">
        <v>134</v>
      </c>
      <c r="HD47" s="20" t="s">
        <v>134</v>
      </c>
      <c r="HE47" s="20" t="s">
        <v>134</v>
      </c>
      <c r="HF47" s="20" t="s">
        <v>134</v>
      </c>
      <c r="HG47" s="20" t="s">
        <v>134</v>
      </c>
      <c r="HH47" s="20" t="s">
        <v>134</v>
      </c>
      <c r="HI47" s="20" t="s">
        <v>134</v>
      </c>
      <c r="HJ47" s="20" t="s">
        <v>134</v>
      </c>
      <c r="HK47" s="20" t="s">
        <v>134</v>
      </c>
      <c r="HL47" s="20">
        <v>5.8943093868367641E-4</v>
      </c>
      <c r="HM47" s="20">
        <v>4.7139992877619558E-6</v>
      </c>
      <c r="HN47" s="20" t="s">
        <v>134</v>
      </c>
      <c r="HO47" s="20" t="s">
        <v>134</v>
      </c>
      <c r="HP47" s="20">
        <v>6.3248860364718947E-6</v>
      </c>
      <c r="HQ47" s="20">
        <v>9.4772133921413083E-8</v>
      </c>
      <c r="HR47" s="20" t="s">
        <v>134</v>
      </c>
      <c r="HS47" s="20" t="s">
        <v>134</v>
      </c>
      <c r="HT47" s="20" t="s">
        <v>134</v>
      </c>
      <c r="HU47" s="20" t="s">
        <v>134</v>
      </c>
      <c r="HV47" s="20">
        <v>4.6432141530708517E-3</v>
      </c>
      <c r="HW47" s="20">
        <v>1.5029608319076229E-4</v>
      </c>
      <c r="HX47" s="20">
        <v>5.6476633761701775E-5</v>
      </c>
      <c r="HY47" s="20">
        <v>1.4662623458487532E-6</v>
      </c>
      <c r="HZ47" s="20" t="s">
        <v>134</v>
      </c>
      <c r="IA47" s="20" t="s">
        <v>134</v>
      </c>
      <c r="IB47" s="20">
        <v>2.3089210704685912</v>
      </c>
      <c r="IC47" s="20">
        <v>3.0767764136005158E-2</v>
      </c>
      <c r="ID47" s="20">
        <v>119.96251070483689</v>
      </c>
      <c r="IE47" s="20">
        <v>2.3625129334267525</v>
      </c>
      <c r="IF47" s="20">
        <v>0.13208356390909648</v>
      </c>
      <c r="IG47" s="20">
        <v>8.6008529028817442E-3</v>
      </c>
      <c r="IH47" s="20">
        <v>0.44237877890668004</v>
      </c>
      <c r="II47" s="20">
        <v>1.5996229597464145E-2</v>
      </c>
      <c r="IJ47" s="20">
        <v>0.96219572473563963</v>
      </c>
      <c r="IK47" s="20">
        <v>4.3874638214041882E-2</v>
      </c>
      <c r="IL47" s="20">
        <v>0.15710353447524203</v>
      </c>
      <c r="IM47" s="20">
        <v>1.1107021961171358E-2</v>
      </c>
      <c r="IN47" s="20">
        <v>5.3016822348954168E-3</v>
      </c>
      <c r="IO47" s="20">
        <v>7.6723235473767821E-4</v>
      </c>
      <c r="IP47" s="20">
        <v>4.5072166315412963E-2</v>
      </c>
      <c r="IQ47" s="20">
        <v>1.1419160460228604E-3</v>
      </c>
      <c r="IR47" s="20">
        <v>2.4789508136363353E-2</v>
      </c>
      <c r="IS47" s="20">
        <v>1.0594872584369342E-3</v>
      </c>
      <c r="IT47" s="20">
        <v>0.28345486450508389</v>
      </c>
      <c r="IU47" s="20">
        <v>1.4737729635573753E-2</v>
      </c>
      <c r="IV47" s="20">
        <v>0.94653543200544388</v>
      </c>
      <c r="IW47" s="20">
        <v>8.1136296094554573E-3</v>
      </c>
      <c r="IX47" s="20">
        <v>4.1311473892370144E-2</v>
      </c>
      <c r="IY47" s="20">
        <v>7.6096816529921101E-3</v>
      </c>
      <c r="IZ47" s="20">
        <v>0.20828397379711514</v>
      </c>
      <c r="JA47" s="20">
        <v>4.5362978353920115E-3</v>
      </c>
      <c r="JB47" s="20">
        <v>3.5390084815817249E-2</v>
      </c>
      <c r="JC47" s="20">
        <v>1.6506951791849069E-3</v>
      </c>
      <c r="JD47" s="20">
        <v>1.6565590422482214E-3</v>
      </c>
      <c r="JE47" s="20">
        <v>9.0877255834912666E-4</v>
      </c>
      <c r="JF47" s="20">
        <v>3.6308997039004233E-2</v>
      </c>
      <c r="JG47" s="20">
        <v>1.2730095140749691E-3</v>
      </c>
      <c r="JH47" s="20">
        <v>8.0702981076055183E-3</v>
      </c>
      <c r="JI47" s="20">
        <v>2.6091682986443543E-3</v>
      </c>
      <c r="JJ47" s="20">
        <v>8.2216121873556698E-5</v>
      </c>
      <c r="JK47" s="20">
        <v>4.723725651383043E-4</v>
      </c>
      <c r="JL47" s="20">
        <v>1.0175995099125854E-2</v>
      </c>
      <c r="JM47" s="20">
        <v>4.2275253814840407E-4</v>
      </c>
      <c r="JN47" s="20">
        <v>1.5636323406554554E-2</v>
      </c>
      <c r="JO47" s="20">
        <v>6.0719253271341797E-4</v>
      </c>
      <c r="JP47" s="20">
        <v>3.7119148675900264E-2</v>
      </c>
      <c r="JQ47" s="20">
        <v>9.4512425459497475E-4</v>
      </c>
      <c r="JR47" s="20" t="s">
        <v>134</v>
      </c>
      <c r="JS47" s="20" t="s">
        <v>134</v>
      </c>
      <c r="JT47" s="20" t="s">
        <v>134</v>
      </c>
      <c r="JU47" s="20" t="s">
        <v>134</v>
      </c>
      <c r="JV47" s="20">
        <v>1.9955616413948896E-4</v>
      </c>
      <c r="JW47" s="20">
        <v>2.5061742674244774E-5</v>
      </c>
      <c r="JX47" s="20">
        <v>5.1632386395787143E-3</v>
      </c>
      <c r="JY47" s="20">
        <v>4.7004404133636085E-4</v>
      </c>
      <c r="JZ47" s="20" t="s">
        <v>134</v>
      </c>
      <c r="KA47" s="20" t="s">
        <v>134</v>
      </c>
      <c r="KB47" s="20">
        <v>0.1384522618161198</v>
      </c>
      <c r="KC47" s="20">
        <v>1.3873180355421337E-3</v>
      </c>
      <c r="KD47" s="20">
        <v>2.434335515671042E-4</v>
      </c>
      <c r="KE47" s="20">
        <v>4.0010242906954701E-6</v>
      </c>
      <c r="KF47" s="20">
        <v>1.4133565460200281E-2</v>
      </c>
      <c r="KG47" s="20">
        <v>5.3912446055205821E-5</v>
      </c>
      <c r="KH47" s="20" t="s">
        <v>134</v>
      </c>
      <c r="KI47" s="20" t="s">
        <v>134</v>
      </c>
      <c r="KJ47" s="20">
        <v>1.566328745903341E-4</v>
      </c>
      <c r="KK47" s="20">
        <v>1.5941424715638572E-4</v>
      </c>
      <c r="KL47" s="20">
        <v>37.657031114577478</v>
      </c>
      <c r="KM47" s="20">
        <v>0.4381203647684116</v>
      </c>
      <c r="KN47" s="20">
        <v>1.0876196005888591E-2</v>
      </c>
      <c r="KO47" s="20">
        <v>2.8771832845259841E-4</v>
      </c>
      <c r="KP47" s="46">
        <v>3.4794234362699335E-3</v>
      </c>
      <c r="KQ47" s="46">
        <v>5.3175117098946999E-3</v>
      </c>
      <c r="KR47" s="16">
        <v>1.0068322683033823</v>
      </c>
      <c r="KS47" s="16">
        <v>29.020914161834135</v>
      </c>
      <c r="KT47" s="16">
        <v>0.20067913489851813</v>
      </c>
      <c r="KU47" s="16">
        <v>33.023006469196439</v>
      </c>
      <c r="KV47" s="16">
        <v>0.23770329768732548</v>
      </c>
      <c r="KW47" s="16">
        <v>1.1765548061013265</v>
      </c>
      <c r="KX47" s="16">
        <v>3.3730639674964369E-2</v>
      </c>
      <c r="KY47" s="16">
        <v>0.94964645675436143</v>
      </c>
      <c r="KZ47" s="16">
        <v>2.4516546573708636E-3</v>
      </c>
      <c r="LA47" s="16">
        <v>1.3776667627561969</v>
      </c>
      <c r="LB47" s="16">
        <v>7.3573162734049688E-3</v>
      </c>
      <c r="LC47" s="18">
        <v>0.15632169712896157</v>
      </c>
      <c r="LD47" s="18">
        <v>3.6488168642289675E-3</v>
      </c>
      <c r="LE47" s="16">
        <v>30.559703514316144</v>
      </c>
      <c r="LF47" s="16">
        <v>0.22556686083370012</v>
      </c>
      <c r="LG47" s="16">
        <v>23.970242559332512</v>
      </c>
      <c r="LH47" s="16">
        <v>0.21484195491041022</v>
      </c>
      <c r="LI47" s="16">
        <v>7.5264971383383683</v>
      </c>
      <c r="LJ47" s="16">
        <v>0.27825113192368661</v>
      </c>
      <c r="LK47" s="16">
        <v>-26.585346049999998</v>
      </c>
      <c r="LL47" s="16">
        <v>6.9016520981611054E-2</v>
      </c>
      <c r="LM47" s="16">
        <v>-25.711206475000001</v>
      </c>
      <c r="LN47" s="16">
        <v>7.9093789634078301E-2</v>
      </c>
      <c r="LO47" s="16">
        <v>-25.504434255</v>
      </c>
      <c r="LP47" s="16">
        <v>8.9083242695394235E-2</v>
      </c>
      <c r="LQ47" s="21">
        <v>61.036478553938792</v>
      </c>
      <c r="LR47" s="21">
        <v>3.4000000000000004</v>
      </c>
      <c r="LS47" s="21">
        <v>-100.33072565313338</v>
      </c>
      <c r="LT47" s="21">
        <v>3.8</v>
      </c>
      <c r="LU47" s="21">
        <v>-399.04353796466387</v>
      </c>
      <c r="LV47" s="21">
        <v>2</v>
      </c>
      <c r="LW47" s="50">
        <v>1.0698000000000001</v>
      </c>
      <c r="LX47" s="50">
        <v>3.4000000000000002E-3</v>
      </c>
      <c r="LY47" s="52">
        <v>0.90710000000000013</v>
      </c>
      <c r="LZ47" s="52">
        <v>3.8E-3</v>
      </c>
      <c r="MA47" s="51">
        <v>0.60592000000000001</v>
      </c>
      <c r="MB47" s="51">
        <v>2E-3</v>
      </c>
      <c r="MC47" s="19" t="s">
        <v>307</v>
      </c>
      <c r="MD47" s="19"/>
      <c r="ME47" s="19">
        <v>785</v>
      </c>
      <c r="MF47" s="19">
        <v>35</v>
      </c>
      <c r="MG47" s="19">
        <v>4025</v>
      </c>
      <c r="MH47" s="19">
        <v>30</v>
      </c>
      <c r="MI47" s="18">
        <v>0.10097604887666371</v>
      </c>
      <c r="MJ47" s="18">
        <v>6.9824768513627967E-4</v>
      </c>
      <c r="MK47" s="18">
        <v>0.17560022359588046</v>
      </c>
      <c r="ML47" s="18">
        <v>1.263990068932939E-3</v>
      </c>
      <c r="MM47" s="18">
        <v>1.1845933442102445</v>
      </c>
      <c r="MN47" s="18">
        <v>3.396109645526843E-2</v>
      </c>
      <c r="MO47" s="46">
        <v>3.3042221378018276E-3</v>
      </c>
      <c r="MP47" s="46">
        <v>8.5303446724965169E-6</v>
      </c>
      <c r="MQ47" s="46">
        <v>7.3257591432887995E-3</v>
      </c>
      <c r="MR47" s="46">
        <v>3.9122615437229752E-5</v>
      </c>
      <c r="MS47" s="18">
        <v>0.15738972890538669</v>
      </c>
      <c r="MT47" s="18">
        <v>3.6737465600352854E-3</v>
      </c>
    </row>
    <row r="48" spans="1:358" s="14" customFormat="1">
      <c r="A48" s="14" t="s">
        <v>131</v>
      </c>
      <c r="B48" s="14" t="s">
        <v>84</v>
      </c>
      <c r="C48" s="14" t="s">
        <v>85</v>
      </c>
      <c r="D48" s="14">
        <v>95</v>
      </c>
      <c r="E48" s="16">
        <v>0.61680297940703965</v>
      </c>
      <c r="F48" s="18">
        <v>0.41568331889715054</v>
      </c>
      <c r="G48" s="19">
        <v>50.729422705120939</v>
      </c>
      <c r="H48" s="19">
        <v>35.626909003755145</v>
      </c>
      <c r="I48" s="19">
        <v>13.643668291123914</v>
      </c>
      <c r="Q48" s="16">
        <v>1.86355</v>
      </c>
      <c r="R48" s="16">
        <v>0.20695440319065456</v>
      </c>
      <c r="S48" s="16">
        <v>0.35044999999999998</v>
      </c>
      <c r="T48" s="16">
        <v>2.7930717856868615E-2</v>
      </c>
      <c r="AA48" s="15">
        <v>0.10885736680825331</v>
      </c>
      <c r="AB48" s="15">
        <v>1.1662734235294811E-2</v>
      </c>
      <c r="AC48" s="15">
        <v>4.7024131822437545E-2</v>
      </c>
      <c r="AD48" s="15">
        <v>1.3993829494150594E-3</v>
      </c>
      <c r="AE48" s="20">
        <v>5.0993617595963187E-2</v>
      </c>
      <c r="AF48" s="20">
        <v>1.110920097134287E-3</v>
      </c>
      <c r="AG48" s="20">
        <v>6.9448632687437173E-2</v>
      </c>
      <c r="AH48" s="20">
        <v>1.0133294771614324E-3</v>
      </c>
      <c r="AI48" s="20">
        <v>4.1678125555626722E-2</v>
      </c>
      <c r="AJ48" s="20">
        <v>8.0835063456901625E-4</v>
      </c>
      <c r="AK48" s="20">
        <v>2.8392707721193863E-3</v>
      </c>
      <c r="AL48" s="20">
        <v>1.985901588072353E-4</v>
      </c>
      <c r="AM48" s="20">
        <v>0.25324021605378416</v>
      </c>
      <c r="AN48" s="20">
        <v>1.8028882864604162E-2</v>
      </c>
      <c r="AO48" s="20">
        <v>0.12043693504107114</v>
      </c>
      <c r="AP48" s="20">
        <v>8.3551062009384509E-3</v>
      </c>
      <c r="AQ48" s="20">
        <v>1.3287031360587301E-2</v>
      </c>
      <c r="AR48" s="20">
        <v>5.9188546561406207E-4</v>
      </c>
      <c r="AS48" s="20">
        <v>9.2739233767927774E-3</v>
      </c>
      <c r="AT48" s="20">
        <v>5.9577770254007575E-6</v>
      </c>
      <c r="AU48" s="20">
        <v>1.9364099011313352E-2</v>
      </c>
      <c r="AV48" s="20">
        <v>1.2185218771422344E-4</v>
      </c>
      <c r="AW48" s="20">
        <v>1.4445449111221049E-2</v>
      </c>
      <c r="AX48" s="20">
        <v>5.3260855317313498E-5</v>
      </c>
      <c r="AY48" s="20">
        <v>4.2444162338304801E-3</v>
      </c>
      <c r="AZ48" s="20">
        <v>2.9478830713639649E-5</v>
      </c>
      <c r="BA48" s="20">
        <v>3.0131907834261679E-3</v>
      </c>
      <c r="BB48" s="20">
        <v>3.1672972699048081E-6</v>
      </c>
      <c r="BC48" s="20">
        <v>0.1396887681578963</v>
      </c>
      <c r="BD48" s="20">
        <v>3.4594817168454419E-4</v>
      </c>
      <c r="BE48" s="20">
        <v>0.1939451213182673</v>
      </c>
      <c r="BF48" s="20">
        <v>1.0478522120825871E-3</v>
      </c>
      <c r="BG48" s="20">
        <v>1.5211441697342689E-6</v>
      </c>
      <c r="BH48" s="67">
        <v>1.6293621743116704E-8</v>
      </c>
      <c r="BI48" s="20">
        <v>2.1493864972199007E-2</v>
      </c>
      <c r="BJ48" s="20">
        <v>4.0136276116433425E-5</v>
      </c>
      <c r="BK48" s="20">
        <v>3.3261544540164362E-2</v>
      </c>
      <c r="BL48" s="20">
        <v>6.8744295928804645E-5</v>
      </c>
      <c r="BM48" s="20">
        <v>1.3448108038240847E-2</v>
      </c>
      <c r="BN48" s="20">
        <v>4.7574914359100827E-5</v>
      </c>
      <c r="BO48" s="20" t="s">
        <v>134</v>
      </c>
      <c r="BP48" s="20" t="s">
        <v>135</v>
      </c>
      <c r="BQ48" s="20">
        <v>1.9911939630161369E-3</v>
      </c>
      <c r="BR48" s="20">
        <v>6.3391912254516024E-7</v>
      </c>
      <c r="BS48" s="20">
        <v>1.5596673696621072E-3</v>
      </c>
      <c r="BT48" s="20">
        <v>3.16251569825313E-5</v>
      </c>
      <c r="BU48" s="20">
        <v>0.17268162882829607</v>
      </c>
      <c r="BV48" s="20">
        <v>2.4057376353713131E-4</v>
      </c>
      <c r="BW48" s="60"/>
      <c r="BX48" s="60"/>
      <c r="BY48" s="15"/>
      <c r="BZ48" s="18"/>
      <c r="CA48" s="18"/>
      <c r="CB48" s="18"/>
      <c r="KR48" s="16"/>
    </row>
    <row r="49" spans="1:358" s="14" customFormat="1">
      <c r="A49" s="14" t="s">
        <v>131</v>
      </c>
      <c r="B49" s="14" t="s">
        <v>86</v>
      </c>
      <c r="C49" s="14" t="s">
        <v>87</v>
      </c>
      <c r="D49" s="14">
        <v>105</v>
      </c>
      <c r="E49" s="16">
        <v>0.19826293833919961</v>
      </c>
      <c r="F49" s="18">
        <v>0.57450419867786295</v>
      </c>
      <c r="G49" s="19">
        <v>53.803431723255763</v>
      </c>
      <c r="H49" s="19">
        <v>34.6554186934193</v>
      </c>
      <c r="I49" s="19">
        <v>11.541149583324943</v>
      </c>
      <c r="J49" s="16">
        <v>1.1953841912782384</v>
      </c>
      <c r="K49" s="16">
        <v>6.0132901558902566E-2</v>
      </c>
      <c r="L49" s="16">
        <v>0.10887998500551371</v>
      </c>
      <c r="M49" s="16">
        <v>4.2911518756733567E-3</v>
      </c>
      <c r="N49" s="16">
        <v>-25.746460300000003</v>
      </c>
      <c r="O49" s="16">
        <v>1.8228166300952586E-2</v>
      </c>
      <c r="P49" s="21">
        <f>J49/L49</f>
        <v>10.978915833040423</v>
      </c>
      <c r="Q49" s="16">
        <v>1.1673499999999999</v>
      </c>
      <c r="R49" s="16">
        <v>2.9899916387842992E-2</v>
      </c>
      <c r="S49" s="16">
        <v>0.60265000000000002</v>
      </c>
      <c r="T49" s="16">
        <v>2.8213560569343279E-2</v>
      </c>
      <c r="U49" s="15">
        <v>0.47909655420814479</v>
      </c>
      <c r="V49" s="15">
        <v>1.2732777580289234E-3</v>
      </c>
      <c r="W49" s="21">
        <v>-524.77059766737773</v>
      </c>
      <c r="X49" s="21">
        <v>1.2732777580289234</v>
      </c>
      <c r="Y49" s="19">
        <v>5910</v>
      </c>
      <c r="Z49" s="14">
        <v>25</v>
      </c>
      <c r="AA49" s="15">
        <v>0.12752101703126717</v>
      </c>
      <c r="AB49" s="15">
        <v>6.5659750120569014E-3</v>
      </c>
      <c r="AC49" s="15">
        <v>3.447103019528798E-2</v>
      </c>
      <c r="AD49" s="15">
        <v>6.8441940244555759E-4</v>
      </c>
      <c r="AE49" s="20">
        <v>6.9364307600033745E-2</v>
      </c>
      <c r="AF49" s="20">
        <v>5.5830618217756519E-4</v>
      </c>
      <c r="AG49" s="20">
        <v>6.7316742885068406E-2</v>
      </c>
      <c r="AH49" s="20">
        <v>7.9021686547757139E-4</v>
      </c>
      <c r="AI49" s="20">
        <v>4.1261931339745123E-2</v>
      </c>
      <c r="AJ49" s="20">
        <v>6.4614788131218308E-4</v>
      </c>
      <c r="AK49" s="20">
        <v>2.6383761812568355E-3</v>
      </c>
      <c r="AL49" s="20">
        <v>3.8022967596755638E-5</v>
      </c>
      <c r="AM49" s="20">
        <v>0.52653363555172394</v>
      </c>
      <c r="AN49" s="20">
        <v>8.322778135317016E-2</v>
      </c>
      <c r="AO49" s="20">
        <v>0.12001248910879113</v>
      </c>
      <c r="AP49" s="20">
        <v>6.1646372440921852E-4</v>
      </c>
      <c r="AQ49" s="20">
        <v>1.6875900816816954E-2</v>
      </c>
      <c r="AR49" s="20">
        <v>1.8001206268944444E-3</v>
      </c>
      <c r="AS49" s="20">
        <v>7.5786576260959814E-3</v>
      </c>
      <c r="AT49" s="20">
        <v>4.2639560166590437E-5</v>
      </c>
      <c r="AU49" s="20">
        <v>1.6251454507960759E-2</v>
      </c>
      <c r="AV49" s="20">
        <v>2.7689925844552732E-5</v>
      </c>
      <c r="AW49" s="20">
        <v>1.0581152641570847E-2</v>
      </c>
      <c r="AX49" s="20">
        <v>2.5614356597997163E-5</v>
      </c>
      <c r="AY49" s="20">
        <v>4.3915916698949401E-3</v>
      </c>
      <c r="AZ49" s="20">
        <v>5.8682340976051732E-6</v>
      </c>
      <c r="BA49" s="20">
        <v>1.9484359503585021E-3</v>
      </c>
      <c r="BB49" s="20">
        <v>6.3432530958345508E-6</v>
      </c>
      <c r="BC49" s="20">
        <v>0.16045238672056589</v>
      </c>
      <c r="BD49" s="20">
        <v>3.7201268107346229E-4</v>
      </c>
      <c r="BE49" s="20">
        <v>0.1405702009287185</v>
      </c>
      <c r="BF49" s="20">
        <v>1.0072786857546095E-3</v>
      </c>
      <c r="BG49" s="20">
        <v>1.6435967075881304E-6</v>
      </c>
      <c r="BH49" s="67">
        <v>1.3851444320458526E-8</v>
      </c>
      <c r="BI49" s="20">
        <v>2.7885667277929554E-2</v>
      </c>
      <c r="BJ49" s="20">
        <v>6.8802837286550419E-5</v>
      </c>
      <c r="BK49" s="20">
        <v>2.5295289473036178E-2</v>
      </c>
      <c r="BL49" s="20">
        <v>6.2090490589340091E-5</v>
      </c>
      <c r="BM49" s="20">
        <v>7.6157480722262106E-3</v>
      </c>
      <c r="BN49" s="20">
        <v>4.8775850861507541E-6</v>
      </c>
      <c r="BO49" s="20" t="s">
        <v>134</v>
      </c>
      <c r="BP49" s="20" t="s">
        <v>135</v>
      </c>
      <c r="BQ49" s="20">
        <v>1.410141682608721E-3</v>
      </c>
      <c r="BR49" s="20">
        <v>4.2112610112301176E-6</v>
      </c>
      <c r="BS49" s="20" t="s">
        <v>134</v>
      </c>
      <c r="BT49" s="20" t="s">
        <v>135</v>
      </c>
      <c r="BU49" s="20">
        <v>0.11619333354284188</v>
      </c>
      <c r="BV49" s="20">
        <v>7.5074927229116926E-5</v>
      </c>
      <c r="BW49" s="61"/>
      <c r="BX49" s="61"/>
      <c r="BY49" s="15"/>
      <c r="BZ49" s="18"/>
      <c r="CA49" s="18"/>
      <c r="CB49" s="18"/>
      <c r="KP49" s="46">
        <v>5.6643552430250853E-4</v>
      </c>
      <c r="KQ49" s="46">
        <v>2.968729042549727E-3</v>
      </c>
      <c r="KR49" s="16">
        <v>0.98008012338444506</v>
      </c>
      <c r="KS49" s="16">
        <v>34.215885661398787</v>
      </c>
      <c r="KT49" s="16">
        <v>0.27083677848865934</v>
      </c>
      <c r="KU49" s="16">
        <v>36.538379356969308</v>
      </c>
      <c r="KV49" s="16">
        <v>0.20998841578794997</v>
      </c>
      <c r="KW49" s="16">
        <v>0.6884701697071991</v>
      </c>
      <c r="KX49" s="16">
        <v>5.8408116305420773E-3</v>
      </c>
      <c r="KY49" s="16">
        <v>1.1307999230185692</v>
      </c>
      <c r="KZ49" s="16">
        <v>1.2934687052797598E-2</v>
      </c>
      <c r="LA49" s="16">
        <v>1.4387508409407213</v>
      </c>
      <c r="LB49" s="16">
        <v>1.672097955813312E-2</v>
      </c>
      <c r="LC49" s="18">
        <v>9.3527117797589099E-2</v>
      </c>
      <c r="LD49" s="18">
        <v>3.5321046534966456E-3</v>
      </c>
      <c r="LE49" s="16">
        <v>30.25812521286926</v>
      </c>
      <c r="LF49" s="16">
        <v>0.42089857608025316</v>
      </c>
      <c r="LG49" s="16">
        <v>25.395904778814128</v>
      </c>
      <c r="LH49" s="16">
        <v>0.32926324830817394</v>
      </c>
      <c r="LI49" s="16">
        <v>7.3611823599352508</v>
      </c>
      <c r="LJ49" s="16">
        <v>0.28492741252206361</v>
      </c>
      <c r="LK49" s="16">
        <v>-26.400982749999997</v>
      </c>
      <c r="LL49" s="16">
        <v>3.6948238505306576E-2</v>
      </c>
      <c r="LM49" s="16">
        <v>-25.462051410000001</v>
      </c>
      <c r="LN49" s="16">
        <v>0.13414239903177341</v>
      </c>
      <c r="LO49" s="16">
        <v>-25.872958539999999</v>
      </c>
      <c r="LP49" s="16">
        <v>2.946059994650934E-2</v>
      </c>
      <c r="LQ49" s="21">
        <v>-44.59110133575517</v>
      </c>
      <c r="LR49" s="21">
        <v>2.7</v>
      </c>
      <c r="LS49" s="21">
        <v>-159.24413640851188</v>
      </c>
      <c r="LT49" s="21">
        <v>2</v>
      </c>
      <c r="LU49" s="21">
        <v>-628.44878893636519</v>
      </c>
      <c r="LV49" s="21">
        <v>1.4000000000000001</v>
      </c>
      <c r="LW49" s="50">
        <v>0.96329999999999993</v>
      </c>
      <c r="LX49" s="50">
        <v>2.7000000000000001E-3</v>
      </c>
      <c r="LY49" s="51">
        <v>0.84770000000000012</v>
      </c>
      <c r="LZ49" s="51">
        <v>2E-3</v>
      </c>
      <c r="MA49" s="51">
        <v>0.37462000000000001</v>
      </c>
      <c r="MB49" s="51">
        <v>1.4000000000000002E-3</v>
      </c>
      <c r="MC49" s="19">
        <v>300</v>
      </c>
      <c r="MD49" s="19">
        <v>25</v>
      </c>
      <c r="ME49" s="19">
        <v>1325</v>
      </c>
      <c r="MF49" s="19">
        <v>20</v>
      </c>
      <c r="MG49" s="19">
        <v>7885</v>
      </c>
      <c r="MH49" s="19">
        <v>35</v>
      </c>
      <c r="MI49" s="18">
        <v>1.9381093134089106E-2</v>
      </c>
      <c r="MJ49" s="18">
        <v>1.5341157262362611E-4</v>
      </c>
      <c r="MK49" s="18">
        <v>0.1084725479647342</v>
      </c>
      <c r="ML49" s="18">
        <v>6.233987085486947E-4</v>
      </c>
      <c r="MM49" s="18">
        <v>0.67475592887314162</v>
      </c>
      <c r="MN49" s="18">
        <v>5.724463383526981E-3</v>
      </c>
      <c r="MO49" s="46">
        <v>6.4052524727625944E-4</v>
      </c>
      <c r="MP49" s="46">
        <v>7.3266662424402757E-6</v>
      </c>
      <c r="MQ49" s="46">
        <v>4.2712614064935621E-3</v>
      </c>
      <c r="MR49" s="46">
        <v>4.9640057634110096E-5</v>
      </c>
      <c r="MS49" s="18">
        <v>9.1664069150852651E-2</v>
      </c>
      <c r="MT49" s="18">
        <v>3.4617455646057649E-3</v>
      </c>
    </row>
    <row r="50" spans="1:358" s="14" customFormat="1">
      <c r="A50" s="14" t="s">
        <v>132</v>
      </c>
      <c r="B50" s="14" t="s">
        <v>88</v>
      </c>
      <c r="C50" s="14" t="s">
        <v>89</v>
      </c>
      <c r="D50" s="14">
        <v>9.5</v>
      </c>
      <c r="E50" s="16">
        <v>0.73715355805243443</v>
      </c>
      <c r="F50" s="18">
        <v>0.26325963808987773</v>
      </c>
      <c r="G50" s="19">
        <v>58.196778809851892</v>
      </c>
      <c r="H50" s="19">
        <v>33.333914144743503</v>
      </c>
      <c r="I50" s="19">
        <v>8.469307045404598</v>
      </c>
      <c r="Q50" s="16">
        <v>1.7315</v>
      </c>
      <c r="R50" s="16">
        <v>2.5932604959779969E-2</v>
      </c>
      <c r="S50" s="16">
        <v>1.0775000000000001</v>
      </c>
      <c r="T50" s="16">
        <v>2.3334523779156166E-2</v>
      </c>
      <c r="AA50" s="15">
        <v>6.3256497855477684E-2</v>
      </c>
      <c r="AB50" s="15">
        <v>3.9836713663068376E-3</v>
      </c>
      <c r="AC50" s="15">
        <v>3.0129795731859331E-2</v>
      </c>
      <c r="AD50" s="15">
        <v>9.0224112481114196E-3</v>
      </c>
      <c r="AE50" s="20">
        <v>8.1774219508541621E-2</v>
      </c>
      <c r="AF50" s="20">
        <v>3.9539756121038669E-3</v>
      </c>
      <c r="AG50" s="20">
        <v>3.4095232898768479E-2</v>
      </c>
      <c r="AH50" s="20">
        <v>9.7298155140491385E-4</v>
      </c>
      <c r="AI50" s="20">
        <v>2.3959345557499186E-2</v>
      </c>
      <c r="AJ50" s="20">
        <v>5.6884045726759969E-4</v>
      </c>
      <c r="AK50" s="20">
        <v>4.0886123808467709E-3</v>
      </c>
      <c r="AL50" s="20">
        <v>5.7609420947355046E-4</v>
      </c>
      <c r="AM50" s="20">
        <v>0.7586734910063202</v>
      </c>
      <c r="AN50" s="20">
        <v>7.3939752048109153E-2</v>
      </c>
      <c r="AO50" s="20">
        <v>6.1218013129304097E-2</v>
      </c>
      <c r="AP50" s="20">
        <v>7.2160582708489208E-5</v>
      </c>
      <c r="AQ50" s="20">
        <v>1.1640805436215984E-2</v>
      </c>
      <c r="AR50" s="20">
        <v>6.6227989467672571E-4</v>
      </c>
      <c r="AS50" s="20">
        <v>1.3994564937755249E-2</v>
      </c>
      <c r="AT50" s="20">
        <v>1.3661011362411845E-4</v>
      </c>
      <c r="AU50" s="20">
        <v>3.0693830896032486E-2</v>
      </c>
      <c r="AV50" s="20">
        <v>2.2240388090478123E-5</v>
      </c>
      <c r="AW50" s="20">
        <v>2.6305696412563501E-2</v>
      </c>
      <c r="AX50" s="20">
        <v>2.0001745354009825E-4</v>
      </c>
      <c r="AY50" s="20">
        <v>1.8417883352055263E-2</v>
      </c>
      <c r="AZ50" s="20">
        <v>6.5527799291589412E-6</v>
      </c>
      <c r="BA50" s="20">
        <v>4.6606945177176179E-3</v>
      </c>
      <c r="BB50" s="20">
        <v>2.1295206323130917E-6</v>
      </c>
      <c r="BC50" s="20">
        <v>0.40802877889065309</v>
      </c>
      <c r="BD50" s="20">
        <v>7.3604686450433896E-4</v>
      </c>
      <c r="BE50" s="20">
        <v>0.18455568212661444</v>
      </c>
      <c r="BF50" s="20">
        <v>1.360022401300269E-4</v>
      </c>
      <c r="BG50" s="20">
        <v>1.4896296999229004E-6</v>
      </c>
      <c r="BH50" s="67">
        <v>1.1813532236537007E-8</v>
      </c>
      <c r="BI50" s="20">
        <v>6.5605608201506641E-2</v>
      </c>
      <c r="BJ50" s="20">
        <v>2.7274494488524069E-4</v>
      </c>
      <c r="BK50" s="20">
        <v>5.0720778921575095E-2</v>
      </c>
      <c r="BL50" s="20">
        <v>6.311110080397339E-5</v>
      </c>
      <c r="BM50" s="20">
        <v>3.1373474655214978E-2</v>
      </c>
      <c r="BN50" s="20">
        <v>1.0995229059885566E-4</v>
      </c>
      <c r="BO50" s="20" t="s">
        <v>134</v>
      </c>
      <c r="BP50" s="20" t="s">
        <v>135</v>
      </c>
      <c r="BQ50" s="20">
        <v>2.1274164912817111E-3</v>
      </c>
      <c r="BR50" s="20">
        <v>5.4887595456056895E-6</v>
      </c>
      <c r="BS50" s="20" t="s">
        <v>134</v>
      </c>
      <c r="BT50" s="20" t="s">
        <v>135</v>
      </c>
      <c r="BU50" s="20">
        <v>0.11424944142373615</v>
      </c>
      <c r="BV50" s="20">
        <v>1.6609939877142321E-5</v>
      </c>
      <c r="BW50" s="60"/>
      <c r="BX50" s="60"/>
      <c r="BY50" s="15"/>
      <c r="BZ50" s="18"/>
      <c r="CA50" s="18"/>
      <c r="CB50" s="18"/>
      <c r="KR50" s="16"/>
    </row>
    <row r="51" spans="1:358" s="14" customFormat="1">
      <c r="A51" s="14" t="s">
        <v>132</v>
      </c>
      <c r="B51" s="14" t="s">
        <v>286</v>
      </c>
      <c r="C51" s="14" t="s">
        <v>90</v>
      </c>
      <c r="D51" s="14">
        <v>33</v>
      </c>
      <c r="E51" s="16">
        <v>0.23104909925821263</v>
      </c>
      <c r="F51" s="18">
        <v>0.20547089082255637</v>
      </c>
      <c r="G51" s="19">
        <v>69.182679825348259</v>
      </c>
      <c r="H51" s="19">
        <v>21.310527822637127</v>
      </c>
      <c r="I51" s="19">
        <v>9.5067923520146174</v>
      </c>
      <c r="J51" s="16">
        <v>0.73147764789321823</v>
      </c>
      <c r="K51" s="16">
        <v>8.4297381608233052E-3</v>
      </c>
      <c r="L51" s="16">
        <v>8.3645634498431765E-2</v>
      </c>
      <c r="M51" s="16">
        <v>3.9573402817897897E-4</v>
      </c>
      <c r="N51" s="16">
        <v>-25.795153060000004</v>
      </c>
      <c r="O51" s="16">
        <v>2.3629104464197612E-2</v>
      </c>
      <c r="P51" s="21">
        <f>J51/L51</f>
        <v>8.744959043940689</v>
      </c>
      <c r="Q51" s="16">
        <v>0.91975000000000018</v>
      </c>
      <c r="R51" s="16">
        <v>2.6295341792796655E-2</v>
      </c>
      <c r="S51" s="16">
        <v>0.68325000000000002</v>
      </c>
      <c r="T51" s="16">
        <v>2.5950818869546262E-2</v>
      </c>
      <c r="U51" s="15">
        <v>0.23000971963800904</v>
      </c>
      <c r="V51" s="15">
        <v>1.5466977938894141E-3</v>
      </c>
      <c r="W51" s="21">
        <v>-771.84686336362972</v>
      </c>
      <c r="X51" s="21">
        <v>1.5466977938894142</v>
      </c>
      <c r="Y51" s="19">
        <v>11810</v>
      </c>
      <c r="Z51" s="14">
        <v>60</v>
      </c>
      <c r="AA51" s="15">
        <v>4.5630720231101041E-2</v>
      </c>
      <c r="AB51" s="15">
        <v>6.7278822825514188E-5</v>
      </c>
      <c r="AC51" s="15">
        <v>1.6286409153723994E-2</v>
      </c>
      <c r="AD51" s="15">
        <v>1.6689443072790449E-4</v>
      </c>
      <c r="AE51" s="20">
        <v>6.5454646181582393E-2</v>
      </c>
      <c r="AF51" s="20">
        <v>8.3197932984243196E-4</v>
      </c>
      <c r="AG51" s="20">
        <v>3.6774794113878399E-2</v>
      </c>
      <c r="AH51" s="20">
        <v>9.3639419813281734E-4</v>
      </c>
      <c r="AI51" s="20">
        <v>2.6806261722761043E-2</v>
      </c>
      <c r="AJ51" s="20">
        <v>5.353141684829798E-4</v>
      </c>
      <c r="AK51" s="20">
        <v>2.8475662465129743E-3</v>
      </c>
      <c r="AL51" s="20">
        <v>7.5393133310378049E-6</v>
      </c>
      <c r="AM51" s="20">
        <v>0.55011790867044774</v>
      </c>
      <c r="AN51" s="20">
        <v>5.4950386454587011E-3</v>
      </c>
      <c r="AO51" s="20">
        <v>5.4338028050384818E-2</v>
      </c>
      <c r="AP51" s="20">
        <v>8.2270377801068402E-4</v>
      </c>
      <c r="AQ51" s="20">
        <v>1.3130401556304513E-2</v>
      </c>
      <c r="AR51" s="20">
        <v>2.4729263913300214E-4</v>
      </c>
      <c r="AS51" s="20">
        <v>8.0453072851728921E-3</v>
      </c>
      <c r="AT51" s="20">
        <v>2.5246124146432868E-5</v>
      </c>
      <c r="AU51" s="20">
        <v>2.1045130321819313E-2</v>
      </c>
      <c r="AV51" s="20">
        <v>1.598679620977622E-4</v>
      </c>
      <c r="AW51" s="20">
        <v>1.6856499073552439E-2</v>
      </c>
      <c r="AX51" s="20">
        <v>1.2457062617488566E-4</v>
      </c>
      <c r="AY51" s="20">
        <v>7.5554129219253694E-3</v>
      </c>
      <c r="AZ51" s="20">
        <v>2.7551262460366255E-6</v>
      </c>
      <c r="BA51" s="20">
        <v>3.2967419336001917E-3</v>
      </c>
      <c r="BB51" s="20">
        <v>1.5602742891410562E-5</v>
      </c>
      <c r="BC51" s="20">
        <v>0.26764587422010305</v>
      </c>
      <c r="BD51" s="20">
        <v>4.1435089497780271E-4</v>
      </c>
      <c r="BE51" s="20">
        <v>0.15800901728221789</v>
      </c>
      <c r="BF51" s="20">
        <v>1.0873251813087446E-3</v>
      </c>
      <c r="BG51" s="20">
        <v>1.1134810443913522E-6</v>
      </c>
      <c r="BH51" s="67">
        <v>2.6068597165294556E-8</v>
      </c>
      <c r="BI51" s="20">
        <v>4.3905302770977456E-2</v>
      </c>
      <c r="BJ51" s="20">
        <v>1.2501300546497197E-4</v>
      </c>
      <c r="BK51" s="20">
        <v>2.275284709937539E-2</v>
      </c>
      <c r="BL51" s="20">
        <v>7.6597350350131961E-5</v>
      </c>
      <c r="BM51" s="20">
        <v>1.2015733679649575E-2</v>
      </c>
      <c r="BN51" s="20">
        <v>2.0374235535462782E-5</v>
      </c>
      <c r="BO51" s="20" t="s">
        <v>134</v>
      </c>
      <c r="BP51" s="20" t="s">
        <v>135</v>
      </c>
      <c r="BQ51" s="20">
        <v>1.455950830767172E-3</v>
      </c>
      <c r="BR51" s="20">
        <v>7.9220937152744182E-7</v>
      </c>
      <c r="BS51" s="20">
        <v>4.0776500202117857E-3</v>
      </c>
      <c r="BT51" s="20">
        <v>3.6510224292758204E-4</v>
      </c>
      <c r="BU51" s="20">
        <v>6.6448288586967691E-2</v>
      </c>
      <c r="BV51" s="20">
        <v>1.8940844374107077E-5</v>
      </c>
      <c r="BW51" s="18">
        <v>0.22681970527666295</v>
      </c>
      <c r="BX51" s="18">
        <v>5.635711122024933E-4</v>
      </c>
      <c r="BY51" s="15">
        <v>2.3490534620635253E-3</v>
      </c>
      <c r="BZ51" s="18">
        <v>4.8942397927941819E-2</v>
      </c>
      <c r="CA51" s="18">
        <v>2.8046422873692262E-2</v>
      </c>
      <c r="CB51" s="18">
        <v>9.8581627958910008E-3</v>
      </c>
      <c r="CC51" s="15">
        <v>1.0995054975348677E-2</v>
      </c>
      <c r="CD51" s="16">
        <v>1.5255184362032717</v>
      </c>
      <c r="CE51" s="16">
        <v>6.0036388355458294</v>
      </c>
      <c r="CF51" s="15"/>
      <c r="CG51" s="15"/>
      <c r="CH51" s="21">
        <v>-109.85208496713406</v>
      </c>
      <c r="CI51" s="21">
        <v>3.8</v>
      </c>
      <c r="CJ51" s="21">
        <v>-556.95924942041097</v>
      </c>
      <c r="CK51" s="21">
        <v>1.6</v>
      </c>
      <c r="CL51" s="15"/>
      <c r="CM51" s="15"/>
      <c r="CN51" s="15">
        <v>0.89749999999999996</v>
      </c>
      <c r="CO51" s="15">
        <v>3.8E-3</v>
      </c>
      <c r="CP51" s="15">
        <v>0.44669999999999993</v>
      </c>
      <c r="CQ51" s="15">
        <v>1.6000000000000001E-3</v>
      </c>
      <c r="CR51" s="15"/>
      <c r="CS51" s="15"/>
      <c r="CT51" s="19">
        <v>870</v>
      </c>
      <c r="CU51" s="19">
        <v>35</v>
      </c>
      <c r="CV51" s="19">
        <v>6475</v>
      </c>
      <c r="CW51" s="19">
        <v>30</v>
      </c>
      <c r="CX51" s="20">
        <v>1.2610149318876832E-9</v>
      </c>
      <c r="CY51" s="20">
        <v>2.5750516227876727E-10</v>
      </c>
      <c r="CZ51" s="20">
        <v>3.2655392284952572E-7</v>
      </c>
      <c r="DA51" s="20">
        <v>3.0894293878232198E-8</v>
      </c>
      <c r="DB51" s="20">
        <v>4.8183864362551856E-7</v>
      </c>
      <c r="DC51" s="20">
        <v>8.3718042540707131E-9</v>
      </c>
      <c r="DD51" s="20">
        <v>1.3969178353517604E-8</v>
      </c>
      <c r="DE51" s="20">
        <v>1.6272076404503811E-9</v>
      </c>
      <c r="DF51" s="20">
        <v>4.0141899076989132E-7</v>
      </c>
      <c r="DG51" s="20">
        <v>1.2914843936141713E-8</v>
      </c>
      <c r="DH51" s="20">
        <v>7.8667193161897918E-8</v>
      </c>
      <c r="DI51" s="20">
        <v>3.3023174339448787E-9</v>
      </c>
      <c r="DJ51" s="20" t="s">
        <v>134</v>
      </c>
      <c r="DK51" s="20" t="s">
        <v>134</v>
      </c>
      <c r="DL51" s="20" t="s">
        <v>134</v>
      </c>
      <c r="DM51" s="20" t="s">
        <v>134</v>
      </c>
      <c r="DN51" s="20">
        <v>1.6688093324308511E-8</v>
      </c>
      <c r="DO51" s="20">
        <v>3.8258995816621218E-10</v>
      </c>
      <c r="DP51" s="20">
        <v>4.0538104898351977E-6</v>
      </c>
      <c r="DQ51" s="20">
        <v>5.8512680245422496E-8</v>
      </c>
      <c r="DR51" s="20">
        <v>5.2373024879571416E-9</v>
      </c>
      <c r="DS51" s="20">
        <v>1.3172491763715706E-10</v>
      </c>
      <c r="DT51" s="20" t="s">
        <v>134</v>
      </c>
      <c r="DU51" s="20" t="s">
        <v>134</v>
      </c>
      <c r="DV51" s="20" t="s">
        <v>134</v>
      </c>
      <c r="DW51" s="20" t="s">
        <v>134</v>
      </c>
      <c r="DX51" s="20" t="s">
        <v>134</v>
      </c>
      <c r="DY51" s="20" t="s">
        <v>134</v>
      </c>
      <c r="DZ51" s="20" t="s">
        <v>134</v>
      </c>
      <c r="EA51" s="20" t="s">
        <v>134</v>
      </c>
      <c r="EB51" s="20">
        <v>-3.391407474053718E-11</v>
      </c>
      <c r="EC51" s="20">
        <v>1.0055871354102704E-11</v>
      </c>
      <c r="ED51" s="20" t="s">
        <v>134</v>
      </c>
      <c r="EE51" s="20" t="s">
        <v>134</v>
      </c>
      <c r="EF51" s="20">
        <v>3.2004545477907075E-11</v>
      </c>
      <c r="EG51" s="20">
        <v>9.6034833593456523E-13</v>
      </c>
      <c r="EH51" s="20">
        <v>7.9817030652178158E-9</v>
      </c>
      <c r="EI51" s="20">
        <v>6.245096672446673E-11</v>
      </c>
      <c r="EJ51" s="20" t="s">
        <v>134</v>
      </c>
      <c r="EK51" s="20" t="s">
        <v>134</v>
      </c>
      <c r="EL51" s="20">
        <v>1.2706335542850825E-9</v>
      </c>
      <c r="EM51" s="20">
        <v>1.3100899670076634E-11</v>
      </c>
      <c r="EN51" s="20" t="s">
        <v>134</v>
      </c>
      <c r="EO51" s="20" t="s">
        <v>134</v>
      </c>
      <c r="EP51" s="20" t="s">
        <v>134</v>
      </c>
      <c r="EQ51" s="20" t="s">
        <v>134</v>
      </c>
      <c r="ER51" s="20" t="s">
        <v>134</v>
      </c>
      <c r="ES51" s="20" t="s">
        <v>134</v>
      </c>
      <c r="ET51" s="20" t="s">
        <v>134</v>
      </c>
      <c r="EU51" s="20" t="s">
        <v>134</v>
      </c>
      <c r="EV51" s="20">
        <v>1.070200059503124E-11</v>
      </c>
      <c r="EW51" s="20">
        <v>6.008969182007614E-13</v>
      </c>
      <c r="EX51" s="20">
        <v>5.2483566875567175E-9</v>
      </c>
      <c r="EY51" s="20">
        <v>9.2344202932116587E-11</v>
      </c>
      <c r="EZ51" s="20" t="s">
        <v>134</v>
      </c>
      <c r="FA51" s="20" t="s">
        <v>134</v>
      </c>
      <c r="FB51" s="20" t="s">
        <v>134</v>
      </c>
      <c r="FC51" s="20" t="s">
        <v>134</v>
      </c>
      <c r="FD51" s="20" t="s">
        <v>134</v>
      </c>
      <c r="FE51" s="20" t="s">
        <v>134</v>
      </c>
      <c r="FF51" s="20" t="s">
        <v>134</v>
      </c>
      <c r="FG51" s="20" t="s">
        <v>134</v>
      </c>
      <c r="FH51" s="20">
        <v>9.1139698328304991E-9</v>
      </c>
      <c r="FI51" s="20">
        <v>1.0031788488471622E-9</v>
      </c>
      <c r="FJ51" s="20">
        <v>2.5367312551856038E-10</v>
      </c>
      <c r="FK51" s="20">
        <v>6.5521596327917663E-12</v>
      </c>
      <c r="FL51" s="20">
        <v>2.5535303075444457E-3</v>
      </c>
      <c r="FM51" s="20">
        <v>6.9731337194425363E-5</v>
      </c>
      <c r="FN51" s="20">
        <v>1.0222317516294368</v>
      </c>
      <c r="FO51" s="20">
        <v>7.814953475313028E-3</v>
      </c>
      <c r="FP51" s="20">
        <v>0.2056558926157358</v>
      </c>
      <c r="FQ51" s="20">
        <v>3.5632707633408002E-3</v>
      </c>
      <c r="FR51" s="20">
        <v>2.6628212947368824E-2</v>
      </c>
      <c r="FS51" s="20">
        <v>5.3996931954432216E-4</v>
      </c>
      <c r="FT51" s="20">
        <v>0.39840628738896056</v>
      </c>
      <c r="FU51" s="20">
        <v>4.3482613501917358E-3</v>
      </c>
      <c r="FV51" s="20">
        <v>5.4961045464709424E-2</v>
      </c>
      <c r="FW51" s="20">
        <v>1.3584771242079773E-3</v>
      </c>
      <c r="FX51" s="20" t="s">
        <v>134</v>
      </c>
      <c r="FY51" s="20" t="s">
        <v>134</v>
      </c>
      <c r="FZ51" s="20" t="s">
        <v>134</v>
      </c>
      <c r="GA51" s="20" t="s">
        <v>134</v>
      </c>
      <c r="GB51" s="20">
        <v>7.1041777438512893E-3</v>
      </c>
      <c r="GC51" s="20">
        <v>1.6286983857324652E-4</v>
      </c>
      <c r="GD51" s="20">
        <v>1.7319909501705619</v>
      </c>
      <c r="GE51" s="20">
        <v>2.4908504880852961E-2</v>
      </c>
      <c r="GF51" s="20">
        <v>2.2295373743245655E-3</v>
      </c>
      <c r="GG51" s="20">
        <v>5.6075742746801246E-5</v>
      </c>
      <c r="GH51" s="20" t="s">
        <v>134</v>
      </c>
      <c r="GI51" s="20" t="s">
        <v>134</v>
      </c>
      <c r="GJ51" s="20" t="s">
        <v>134</v>
      </c>
      <c r="GK51" s="20" t="s">
        <v>134</v>
      </c>
      <c r="GL51" s="20" t="s">
        <v>134</v>
      </c>
      <c r="GM51" s="20" t="s">
        <v>134</v>
      </c>
      <c r="GN51" s="20" t="s">
        <v>134</v>
      </c>
      <c r="GO51" s="20" t="s">
        <v>134</v>
      </c>
      <c r="GP51" s="20">
        <v>1.2155321252490626E-4</v>
      </c>
      <c r="GQ51" s="20">
        <v>4.0128141547788843E-6</v>
      </c>
      <c r="GR51" s="20" t="s">
        <v>134</v>
      </c>
      <c r="GS51" s="20" t="s">
        <v>134</v>
      </c>
      <c r="GT51" s="20">
        <v>1.3624443204367387E-5</v>
      </c>
      <c r="GU51" s="20">
        <v>4.0882353315660494E-7</v>
      </c>
      <c r="GV51" s="20">
        <v>3.39783797777267E-3</v>
      </c>
      <c r="GW51" s="20">
        <v>2.6585587656062416E-5</v>
      </c>
      <c r="GX51" s="20" t="s">
        <v>134</v>
      </c>
      <c r="GY51" s="20" t="s">
        <v>134</v>
      </c>
      <c r="GZ51" s="20">
        <v>5.4091299955723229E-4</v>
      </c>
      <c r="HA51" s="20">
        <v>5.5770972783940618E-6</v>
      </c>
      <c r="HB51" s="20" t="s">
        <v>134</v>
      </c>
      <c r="HC51" s="20" t="s">
        <v>134</v>
      </c>
      <c r="HD51" s="20" t="s">
        <v>134</v>
      </c>
      <c r="HE51" s="20" t="s">
        <v>134</v>
      </c>
      <c r="HF51" s="20" t="s">
        <v>134</v>
      </c>
      <c r="HG51" s="20" t="s">
        <v>134</v>
      </c>
      <c r="HH51" s="20" t="s">
        <v>134</v>
      </c>
      <c r="HI51" s="20" t="s">
        <v>134</v>
      </c>
      <c r="HJ51" s="20">
        <v>4.5558778324398252E-6</v>
      </c>
      <c r="HK51" s="20">
        <v>2.5580384946748028E-7</v>
      </c>
      <c r="HL51" s="20">
        <v>2.3331349825728787E-3</v>
      </c>
      <c r="HM51" s="20">
        <v>3.9274092044914283E-5</v>
      </c>
      <c r="HN51" s="20" t="s">
        <v>134</v>
      </c>
      <c r="HO51" s="20" t="s">
        <v>134</v>
      </c>
      <c r="HP51" s="20" t="s">
        <v>134</v>
      </c>
      <c r="HQ51" s="20" t="s">
        <v>134</v>
      </c>
      <c r="HR51" s="20" t="s">
        <v>134</v>
      </c>
      <c r="HS51" s="20" t="s">
        <v>134</v>
      </c>
      <c r="HT51" s="20" t="s">
        <v>134</v>
      </c>
      <c r="HU51" s="20" t="s">
        <v>134</v>
      </c>
      <c r="HV51" s="20">
        <v>9.397873110371685E-3</v>
      </c>
      <c r="HW51" s="20">
        <v>3.4374474503837571E-4</v>
      </c>
      <c r="HX51" s="20">
        <v>1.0798950709947714E-4</v>
      </c>
      <c r="HY51" s="20">
        <v>2.7892765058808092E-6</v>
      </c>
      <c r="HZ51" s="20" t="s">
        <v>134</v>
      </c>
      <c r="IA51" s="20" t="s">
        <v>134</v>
      </c>
      <c r="IB51" s="20">
        <v>3.1531978336496467</v>
      </c>
      <c r="IC51" s="20">
        <v>4.2989667720379578E-2</v>
      </c>
      <c r="ID51" s="20">
        <v>13.951598223895683</v>
      </c>
      <c r="IE51" s="20">
        <v>0.27724039753563073</v>
      </c>
      <c r="IF51" s="20">
        <v>2.7661712795782736E-2</v>
      </c>
      <c r="IG51" s="20">
        <v>2.3910191292955133E-2</v>
      </c>
      <c r="IH51" s="20">
        <v>0.35680246752257649</v>
      </c>
      <c r="II51" s="20">
        <v>4.7649518477830159E-2</v>
      </c>
      <c r="IJ51" s="20" t="s">
        <v>134</v>
      </c>
      <c r="IK51" s="20" t="s">
        <v>134</v>
      </c>
      <c r="IL51" s="20">
        <v>1.2736975301315434</v>
      </c>
      <c r="IM51" s="20">
        <v>3.5320062438866526E-2</v>
      </c>
      <c r="IN51" s="20">
        <v>4.152378688400407E-3</v>
      </c>
      <c r="IO51" s="20">
        <v>2.3014969048484402E-3</v>
      </c>
      <c r="IP51" s="20">
        <v>5.6245229793511944E-2</v>
      </c>
      <c r="IQ51" s="20">
        <v>2.6413306486236174E-3</v>
      </c>
      <c r="IR51" s="20">
        <v>4.2129486497733369E-3</v>
      </c>
      <c r="IS51" s="20">
        <v>2.7443948266042337E-3</v>
      </c>
      <c r="IT51" s="20">
        <v>1.3374847697092076E-2</v>
      </c>
      <c r="IU51" s="20">
        <v>4.4427459589283957E-2</v>
      </c>
      <c r="IV51" s="20">
        <v>0.36786298696305825</v>
      </c>
      <c r="IW51" s="20">
        <v>9.2767479781071006E-3</v>
      </c>
      <c r="IX51" s="20" t="s">
        <v>134</v>
      </c>
      <c r="IY51" s="20" t="s">
        <v>134</v>
      </c>
      <c r="IZ51" s="20">
        <v>0.13166595410778378</v>
      </c>
      <c r="JA51" s="20">
        <v>8.28246679724471E-3</v>
      </c>
      <c r="JB51" s="20">
        <v>3.114242490380844E-2</v>
      </c>
      <c r="JC51" s="20">
        <v>4.8143569335812857E-3</v>
      </c>
      <c r="JD51" s="20">
        <v>2.0099466595147135E-3</v>
      </c>
      <c r="JE51" s="20">
        <v>2.7286104040415912E-3</v>
      </c>
      <c r="JF51" s="20">
        <v>3.1739845687720702E-2</v>
      </c>
      <c r="JG51" s="20">
        <v>3.5190159547588899E-3</v>
      </c>
      <c r="JH51" s="20">
        <v>2.3218960560599588E-2</v>
      </c>
      <c r="JI51" s="20">
        <v>7.7847778618078487E-3</v>
      </c>
      <c r="JJ51" s="20" t="s">
        <v>134</v>
      </c>
      <c r="JK51" s="20" t="s">
        <v>134</v>
      </c>
      <c r="JL51" s="20">
        <v>1.443712596166608E-2</v>
      </c>
      <c r="JM51" s="20">
        <v>1.1795669410146479E-3</v>
      </c>
      <c r="JN51" s="20">
        <v>1.479144445508586E-2</v>
      </c>
      <c r="JO51" s="20">
        <v>1.7903791602010169E-3</v>
      </c>
      <c r="JP51" s="20">
        <v>4.6149918498233536E-2</v>
      </c>
      <c r="JQ51" s="20">
        <v>2.1305014414371593E-3</v>
      </c>
      <c r="JR51" s="20" t="s">
        <v>134</v>
      </c>
      <c r="JS51" s="20" t="s">
        <v>134</v>
      </c>
      <c r="JT51" s="20" t="s">
        <v>134</v>
      </c>
      <c r="JU51" s="20" t="s">
        <v>134</v>
      </c>
      <c r="JV51" s="20">
        <v>8.4663727121592949E-3</v>
      </c>
      <c r="JW51" s="20">
        <v>2.7161654904625591E-4</v>
      </c>
      <c r="JX51" s="20">
        <v>4.5622272755620362E-3</v>
      </c>
      <c r="JY51" s="20">
        <v>1.4054132173493186E-3</v>
      </c>
      <c r="JZ51" s="20" t="s">
        <v>134</v>
      </c>
      <c r="KA51" s="20" t="s">
        <v>134</v>
      </c>
      <c r="KB51" s="20">
        <v>0.20686436084209681</v>
      </c>
      <c r="KC51" s="20">
        <v>2.9804577194405004E-3</v>
      </c>
      <c r="KD51" s="20" t="s">
        <v>134</v>
      </c>
      <c r="KE51" s="20" t="s">
        <v>134</v>
      </c>
      <c r="KF51" s="20">
        <v>6.1977294168801848E-3</v>
      </c>
      <c r="KG51" s="20">
        <v>8.0596976363470933E-5</v>
      </c>
      <c r="KH51" s="20" t="s">
        <v>134</v>
      </c>
      <c r="KI51" s="20" t="s">
        <v>134</v>
      </c>
      <c r="KJ51" s="20" t="s">
        <v>134</v>
      </c>
      <c r="KK51" s="20" t="s">
        <v>134</v>
      </c>
      <c r="KL51" s="20">
        <v>5.7557996125291258</v>
      </c>
      <c r="KM51" s="20">
        <v>9.4528450847661386E-2</v>
      </c>
      <c r="KN51" s="20">
        <v>1.0973695552374891E-2</v>
      </c>
      <c r="KO51" s="20">
        <v>9.1920492528605781E-4</v>
      </c>
      <c r="KP51" s="46">
        <v>8.2489238916338265E-4</v>
      </c>
      <c r="KQ51" s="46">
        <v>1.7143847847070105E-3</v>
      </c>
      <c r="KR51" s="16">
        <v>0.97964915829417398</v>
      </c>
      <c r="KS51" s="16">
        <v>31.787562802696179</v>
      </c>
      <c r="KT51" s="16">
        <v>0.27016883109461959</v>
      </c>
      <c r="KU51" s="16">
        <v>28.655096287128718</v>
      </c>
      <c r="KV51" s="16">
        <v>0.30525274664529783</v>
      </c>
      <c r="KW51" s="16">
        <v>0.55511856289190553</v>
      </c>
      <c r="KX51" s="16">
        <v>2.6015368595979155E-2</v>
      </c>
      <c r="KY51" s="16">
        <v>0.84187980836671872</v>
      </c>
      <c r="KZ51" s="16">
        <v>1.9032857635289419E-2</v>
      </c>
      <c r="LA51" s="16">
        <v>1.03267497168149</v>
      </c>
      <c r="LB51" s="16">
        <v>8.9589429449092144E-3</v>
      </c>
      <c r="LC51" s="18">
        <v>8.2317282821456089E-2</v>
      </c>
      <c r="LD51" s="18">
        <v>5.4297725799499802E-4</v>
      </c>
      <c r="LE51" s="16">
        <v>37.757839642650836</v>
      </c>
      <c r="LF51" s="16">
        <v>0.91194262935164094</v>
      </c>
      <c r="LG51" s="16">
        <v>27.7484175301257</v>
      </c>
      <c r="LH51" s="16">
        <v>0.38121801154164803</v>
      </c>
      <c r="LI51" s="16">
        <v>6.7436453666229772</v>
      </c>
      <c r="LJ51" s="16">
        <v>0.31915280854775135</v>
      </c>
      <c r="LK51" s="16">
        <v>-26.047044649999997</v>
      </c>
      <c r="LL51" s="16">
        <v>2.8582599598445849E-2</v>
      </c>
      <c r="LM51" s="16">
        <v>-25.335422654999999</v>
      </c>
      <c r="LN51" s="16">
        <v>6.5059063530411521E-2</v>
      </c>
      <c r="LO51" s="16">
        <v>-25.928509980000001</v>
      </c>
      <c r="LP51" s="16">
        <v>3.9280799928676606E-2</v>
      </c>
      <c r="LQ51" s="21">
        <v>10.950161329248198</v>
      </c>
      <c r="LR51" s="21">
        <v>1.6</v>
      </c>
      <c r="LS51" s="21">
        <v>-177.89013173176315</v>
      </c>
      <c r="LT51" s="21">
        <v>2.6</v>
      </c>
      <c r="LU51" s="21">
        <v>-765.83406937129837</v>
      </c>
      <c r="LV51" s="21">
        <v>0.78</v>
      </c>
      <c r="LW51" s="50">
        <v>1.0193000000000001</v>
      </c>
      <c r="LX51" s="50">
        <v>1.6000000000000001E-3</v>
      </c>
      <c r="LY51" s="51">
        <v>0.82889999999999997</v>
      </c>
      <c r="LZ51" s="51">
        <v>2.5999999999999999E-3</v>
      </c>
      <c r="MA51" s="51">
        <v>0.2361</v>
      </c>
      <c r="MB51" s="51">
        <v>7.7999999999999999E-4</v>
      </c>
      <c r="MC51" s="19" t="s">
        <v>307</v>
      </c>
      <c r="MD51" s="19"/>
      <c r="ME51" s="19">
        <v>1505</v>
      </c>
      <c r="MF51" s="19">
        <v>30</v>
      </c>
      <c r="MG51" s="19">
        <v>11595</v>
      </c>
      <c r="MH51" s="19">
        <v>30</v>
      </c>
      <c r="MI51" s="18">
        <v>2.6221318625997123E-2</v>
      </c>
      <c r="MJ51" s="18">
        <v>2.2286021255911914E-4</v>
      </c>
      <c r="MK51" s="18">
        <v>4.9125861078967825E-2</v>
      </c>
      <c r="ML51" s="18">
        <v>5.2332066433872257E-4</v>
      </c>
      <c r="MM51" s="18">
        <v>0.54382143289052665</v>
      </c>
      <c r="MN51" s="18">
        <v>2.5485933947763665E-2</v>
      </c>
      <c r="MO51" s="46">
        <v>6.9446024651203348E-4</v>
      </c>
      <c r="MP51" s="46">
        <v>1.5700059407380418E-5</v>
      </c>
      <c r="MQ51" s="46">
        <v>1.7704022589984892E-3</v>
      </c>
      <c r="MR51" s="46">
        <v>1.5359075471810574E-5</v>
      </c>
      <c r="MS51" s="18">
        <v>8.0642056829102915E-2</v>
      </c>
      <c r="MT51" s="18">
        <v>5.3192721376767833E-4</v>
      </c>
    </row>
    <row r="52" spans="1:358" s="14" customFormat="1">
      <c r="A52" s="14" t="s">
        <v>132</v>
      </c>
      <c r="B52" s="14" t="s">
        <v>91</v>
      </c>
      <c r="C52" s="14" t="s">
        <v>92</v>
      </c>
      <c r="D52" s="14">
        <v>83</v>
      </c>
      <c r="E52" s="16">
        <v>0.1810540638407602</v>
      </c>
      <c r="F52" s="18">
        <v>0.24873748967036988</v>
      </c>
      <c r="G52" s="19">
        <v>59.249524982505193</v>
      </c>
      <c r="H52" s="19">
        <v>29.683234549635245</v>
      </c>
      <c r="I52" s="19">
        <v>11.067240467859557</v>
      </c>
      <c r="P52" s="16"/>
      <c r="Q52" s="16">
        <v>0.87664999999999993</v>
      </c>
      <c r="R52" s="16">
        <v>4.4118080193952219E-2</v>
      </c>
      <c r="S52" s="16">
        <v>0.40434999999999999</v>
      </c>
      <c r="T52" s="16">
        <v>4.1790010768124948E-2</v>
      </c>
      <c r="U52" s="15">
        <v>0.21663498937537656</v>
      </c>
      <c r="V52" s="15">
        <v>1.3830393533299716E-3</v>
      </c>
      <c r="W52" s="21">
        <v>-785.11363602822587</v>
      </c>
      <c r="X52" s="21">
        <v>1.3830393533299716</v>
      </c>
      <c r="Y52" s="14">
        <v>12290</v>
      </c>
      <c r="Z52" s="14">
        <v>60</v>
      </c>
      <c r="AA52" s="15">
        <v>7.1354769483168712E-2</v>
      </c>
      <c r="AB52" s="15">
        <v>2.7825370535661522E-3</v>
      </c>
      <c r="AC52" s="15">
        <v>1.5100310764934316E-2</v>
      </c>
      <c r="AD52" s="15">
        <v>3.1752124564277795E-4</v>
      </c>
      <c r="AE52" s="20">
        <v>6.5881717636668974E-2</v>
      </c>
      <c r="AF52" s="20">
        <v>1.3215363872855187E-3</v>
      </c>
      <c r="AG52" s="20">
        <v>6.1430636279098047E-2</v>
      </c>
      <c r="AH52" s="20">
        <v>1.5092689660323175E-3</v>
      </c>
      <c r="AI52" s="20">
        <v>4.137933255858741E-2</v>
      </c>
      <c r="AJ52" s="20">
        <v>2.2557810938212109E-3</v>
      </c>
      <c r="AK52" s="20">
        <v>1.9837139536766722E-3</v>
      </c>
      <c r="AL52" s="20">
        <v>3.5496468720611817E-5</v>
      </c>
      <c r="AM52" s="20">
        <v>0.34672132678549539</v>
      </c>
      <c r="AN52" s="20">
        <v>2.090432525203182E-2</v>
      </c>
      <c r="AO52" s="20">
        <v>6.6869097402878094E-2</v>
      </c>
      <c r="AP52" s="20">
        <v>1.3968048891785782E-3</v>
      </c>
      <c r="AQ52" s="20">
        <v>1.8529652282559754E-2</v>
      </c>
      <c r="AR52" s="20">
        <v>3.6491562325729719E-3</v>
      </c>
      <c r="AS52" s="20">
        <v>6.9202904882972507E-3</v>
      </c>
      <c r="AT52" s="20">
        <v>3.5164945375434847E-5</v>
      </c>
      <c r="AU52" s="20">
        <v>1.4870259984498395E-2</v>
      </c>
      <c r="AV52" s="20">
        <v>6.0081301519022001E-6</v>
      </c>
      <c r="AW52" s="20">
        <v>1.0831708554196112E-2</v>
      </c>
      <c r="AX52" s="20">
        <v>6.9080889771767546E-5</v>
      </c>
      <c r="AY52" s="20">
        <v>5.4379653951146323E-3</v>
      </c>
      <c r="AZ52" s="20">
        <v>3.1462190745452444E-5</v>
      </c>
      <c r="BA52" s="20">
        <v>2.1714666989407628E-3</v>
      </c>
      <c r="BB52" s="20">
        <v>7.9123629588834549E-6</v>
      </c>
      <c r="BC52" s="20">
        <v>0.15143955617898924</v>
      </c>
      <c r="BD52" s="20">
        <v>2.0780720029210464E-4</v>
      </c>
      <c r="BE52" s="20">
        <v>0.11201900579059024</v>
      </c>
      <c r="BF52" s="20">
        <v>2.9879059214085903E-4</v>
      </c>
      <c r="BG52" s="20">
        <v>1.5186215531308593E-6</v>
      </c>
      <c r="BH52" s="67">
        <v>3.0123038005675521E-8</v>
      </c>
      <c r="BI52" s="20">
        <v>2.5730343950497732E-2</v>
      </c>
      <c r="BJ52" s="20">
        <v>9.8650780451658174E-5</v>
      </c>
      <c r="BK52" s="20">
        <v>1.9174514620230811E-2</v>
      </c>
      <c r="BL52" s="20">
        <v>4.7710924265811627E-5</v>
      </c>
      <c r="BM52" s="20">
        <v>7.8830919902218959E-3</v>
      </c>
      <c r="BN52" s="20">
        <v>5.5772935841541373E-5</v>
      </c>
      <c r="BO52" s="20" t="s">
        <v>134</v>
      </c>
      <c r="BP52" s="20" t="s">
        <v>135</v>
      </c>
      <c r="BQ52" s="20">
        <v>6.3330099522549061E-4</v>
      </c>
      <c r="BR52" s="20">
        <v>9.1016312940845227E-7</v>
      </c>
      <c r="BS52" s="20">
        <v>6.1538062154209523E-3</v>
      </c>
      <c r="BT52" s="20">
        <v>2.3907172268592545E-5</v>
      </c>
      <c r="BU52" s="20">
        <v>3.9393442358169085E-2</v>
      </c>
      <c r="BV52" s="20">
        <v>2.8953057856429312E-5</v>
      </c>
      <c r="BW52" s="18">
        <v>6.3522710952977818E-2</v>
      </c>
      <c r="BX52" s="18">
        <v>7.9212688898668969E-4</v>
      </c>
      <c r="BY52" s="15">
        <v>2.7261085744621919E-3</v>
      </c>
      <c r="BZ52" s="18">
        <v>5.3117819952306244E-2</v>
      </c>
      <c r="CA52" s="18">
        <v>2.3536331787595417E-2</v>
      </c>
      <c r="CB52" s="18">
        <v>8.6657939941933732E-3</v>
      </c>
      <c r="CC52" s="15">
        <v>1.2203782686921738E-2</v>
      </c>
      <c r="CD52" s="16">
        <v>1.1321037203011868</v>
      </c>
      <c r="CE52" s="16">
        <v>6.6769068406156089</v>
      </c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20">
        <v>1.3843836072129881E-9</v>
      </c>
      <c r="CY52" s="20">
        <v>3.3144860577191762E-10</v>
      </c>
      <c r="CZ52" s="20">
        <v>3.7992902462565548E-7</v>
      </c>
      <c r="DA52" s="20">
        <v>4.5405946576850096E-8</v>
      </c>
      <c r="DB52" s="20">
        <v>5.8016466427455589E-7</v>
      </c>
      <c r="DC52" s="20">
        <v>7.1291267338483956E-9</v>
      </c>
      <c r="DD52" s="20">
        <v>1.5908538054424612E-8</v>
      </c>
      <c r="DE52" s="20">
        <v>1.8695981432590037E-9</v>
      </c>
      <c r="DF52" s="20">
        <v>4.659298896398208E-7</v>
      </c>
      <c r="DG52" s="20">
        <v>1.4049536267920518E-8</v>
      </c>
      <c r="DH52" s="20">
        <v>6.2616890234773137E-8</v>
      </c>
      <c r="DI52" s="20">
        <v>2.9580318040310076E-9</v>
      </c>
      <c r="DJ52" s="20">
        <v>1.0091695809197794E-10</v>
      </c>
      <c r="DK52" s="20">
        <v>2.1457832748847695E-12</v>
      </c>
      <c r="DL52" s="20" t="s">
        <v>134</v>
      </c>
      <c r="DM52" s="20" t="s">
        <v>134</v>
      </c>
      <c r="DN52" s="20">
        <v>1.3032537457052566E-8</v>
      </c>
      <c r="DO52" s="20">
        <v>1.8512183830325198E-10</v>
      </c>
      <c r="DP52" s="20">
        <v>4.9683510984774335E-6</v>
      </c>
      <c r="DQ52" s="20">
        <v>5.4040318788921876E-8</v>
      </c>
      <c r="DR52" s="20">
        <v>2.0661975992219661E-9</v>
      </c>
      <c r="DS52" s="20">
        <v>3.237041609006362E-11</v>
      </c>
      <c r="DT52" s="20" t="s">
        <v>134</v>
      </c>
      <c r="DU52" s="20" t="s">
        <v>134</v>
      </c>
      <c r="DV52" s="20" t="s">
        <v>134</v>
      </c>
      <c r="DW52" s="20" t="s">
        <v>134</v>
      </c>
      <c r="DX52" s="20">
        <v>2.4202948997903458E-10</v>
      </c>
      <c r="DY52" s="20">
        <v>7.9119248984216357E-12</v>
      </c>
      <c r="DZ52" s="20" t="s">
        <v>134</v>
      </c>
      <c r="EA52" s="20" t="s">
        <v>134</v>
      </c>
      <c r="EB52" s="20">
        <v>-1.4731413646838507E-11</v>
      </c>
      <c r="EC52" s="20">
        <v>8.9127975937838887E-12</v>
      </c>
      <c r="ED52" s="20">
        <v>-4.7260328764445574E-10</v>
      </c>
      <c r="EE52" s="20">
        <v>3.5765012595478527E-11</v>
      </c>
      <c r="EF52" s="20">
        <v>3.9629334145359486E-11</v>
      </c>
      <c r="EG52" s="20">
        <v>1.7804985216109797E-12</v>
      </c>
      <c r="EH52" s="20">
        <v>9.0211684341251501E-9</v>
      </c>
      <c r="EI52" s="20">
        <v>1.2802960831594518E-10</v>
      </c>
      <c r="EJ52" s="20" t="s">
        <v>134</v>
      </c>
      <c r="EK52" s="20" t="s">
        <v>134</v>
      </c>
      <c r="EL52" s="20">
        <v>8.5963975219327494E-10</v>
      </c>
      <c r="EM52" s="20">
        <v>8.6492400442144529E-12</v>
      </c>
      <c r="EN52" s="20" t="s">
        <v>134</v>
      </c>
      <c r="EO52" s="20" t="s">
        <v>134</v>
      </c>
      <c r="EP52" s="20" t="s">
        <v>134</v>
      </c>
      <c r="EQ52" s="20" t="s">
        <v>134</v>
      </c>
      <c r="ER52" s="20" t="s">
        <v>134</v>
      </c>
      <c r="ES52" s="20" t="s">
        <v>134</v>
      </c>
      <c r="ET52" s="20">
        <v>9.0688809272469329E-11</v>
      </c>
      <c r="EU52" s="20">
        <v>2.0239904698646891E-12</v>
      </c>
      <c r="EV52" s="20">
        <v>1.0640601013881651E-11</v>
      </c>
      <c r="EW52" s="20">
        <v>5.203452307610186E-13</v>
      </c>
      <c r="EX52" s="20">
        <v>4.9060682382914533E-9</v>
      </c>
      <c r="EY52" s="20">
        <v>6.3357403754732381E-11</v>
      </c>
      <c r="EZ52" s="20" t="s">
        <v>134</v>
      </c>
      <c r="FA52" s="20" t="s">
        <v>134</v>
      </c>
      <c r="FB52" s="20" t="s">
        <v>134</v>
      </c>
      <c r="FC52" s="20" t="s">
        <v>134</v>
      </c>
      <c r="FD52" s="20" t="s">
        <v>134</v>
      </c>
      <c r="FE52" s="20" t="s">
        <v>134</v>
      </c>
      <c r="FF52" s="20" t="s">
        <v>134</v>
      </c>
      <c r="FG52" s="20" t="s">
        <v>134</v>
      </c>
      <c r="FH52" s="20">
        <v>1.0386376990606498E-8</v>
      </c>
      <c r="FI52" s="20">
        <v>8.816668452310904E-10</v>
      </c>
      <c r="FJ52" s="20">
        <v>2.8891611065527698E-10</v>
      </c>
      <c r="FK52" s="20">
        <v>1.0547638727417466E-11</v>
      </c>
      <c r="FL52" s="20">
        <v>2.3158083930635643E-3</v>
      </c>
      <c r="FM52" s="20">
        <v>9.5039235713509322E-5</v>
      </c>
      <c r="FN52" s="20">
        <v>0.93117139703161889</v>
      </c>
      <c r="FO52" s="20">
        <v>1.3692630134811132E-2</v>
      </c>
      <c r="FP52" s="20">
        <v>0.21329801007258026</v>
      </c>
      <c r="FQ52" s="20">
        <v>2.6144342991353316E-3</v>
      </c>
      <c r="FR52" s="20">
        <v>2.4376594800759287E-2</v>
      </c>
      <c r="FS52" s="20">
        <v>5.6481602315303309E-4</v>
      </c>
      <c r="FT52" s="20">
        <v>0.3748865977626526</v>
      </c>
      <c r="FU52" s="20">
        <v>4.178874118157155E-3</v>
      </c>
      <c r="FV52" s="20">
        <v>4.2219139678529846E-2</v>
      </c>
      <c r="FW52" s="20">
        <v>1.03548699736696E-3</v>
      </c>
      <c r="FX52" s="20">
        <v>3.7018686283207519E-5</v>
      </c>
      <c r="FY52" s="20">
        <v>7.8712318907110693E-7</v>
      </c>
      <c r="FZ52" s="20" t="s">
        <v>134</v>
      </c>
      <c r="GA52" s="20" t="s">
        <v>134</v>
      </c>
      <c r="GB52" s="20">
        <v>4.7806377116229246E-3</v>
      </c>
      <c r="GC52" s="20">
        <v>6.790699388771518E-5</v>
      </c>
      <c r="GD52" s="20">
        <v>1.8281278532095286</v>
      </c>
      <c r="GE52" s="20">
        <v>1.9822698956864497E-2</v>
      </c>
      <c r="GF52" s="20">
        <v>7.5792931307939071E-4</v>
      </c>
      <c r="GG52" s="20">
        <v>1.1874221149262067E-5</v>
      </c>
      <c r="GH52" s="20" t="s">
        <v>134</v>
      </c>
      <c r="GI52" s="20" t="s">
        <v>134</v>
      </c>
      <c r="GJ52" s="20" t="s">
        <v>134</v>
      </c>
      <c r="GK52" s="20" t="s">
        <v>134</v>
      </c>
      <c r="GL52" s="20">
        <v>8.8782043476306639E-5</v>
      </c>
      <c r="GM52" s="20">
        <v>2.9022779842811306E-6</v>
      </c>
      <c r="GN52" s="20" t="s">
        <v>134</v>
      </c>
      <c r="GO52" s="20" t="s">
        <v>134</v>
      </c>
      <c r="GP52" s="20">
        <v>1.1651183722363661E-4</v>
      </c>
      <c r="GQ52" s="20">
        <v>2.9837354984490335E-6</v>
      </c>
      <c r="GR52" s="20">
        <v>1.1435543775562369E-4</v>
      </c>
      <c r="GS52" s="20">
        <v>8.6475175468459239E-6</v>
      </c>
      <c r="GT52" s="20">
        <v>1.4536961042785165E-5</v>
      </c>
      <c r="GU52" s="20">
        <v>6.5312824965610095E-7</v>
      </c>
      <c r="GV52" s="20">
        <v>3.3091743001853299E-3</v>
      </c>
      <c r="GW52" s="20">
        <v>4.696423668349414E-5</v>
      </c>
      <c r="GX52" s="20" t="s">
        <v>134</v>
      </c>
      <c r="GY52" s="20" t="s">
        <v>134</v>
      </c>
      <c r="GZ52" s="20">
        <v>3.1533584547815198E-4</v>
      </c>
      <c r="HA52" s="20">
        <v>3.1727423204047474E-6</v>
      </c>
      <c r="HB52" s="20" t="s">
        <v>134</v>
      </c>
      <c r="HC52" s="20" t="s">
        <v>134</v>
      </c>
      <c r="HD52" s="20" t="s">
        <v>134</v>
      </c>
      <c r="HE52" s="20" t="s">
        <v>134</v>
      </c>
      <c r="HF52" s="20" t="s">
        <v>134</v>
      </c>
      <c r="HG52" s="20" t="s">
        <v>134</v>
      </c>
      <c r="HH52" s="20">
        <v>3.3266763518529511E-5</v>
      </c>
      <c r="HI52" s="20">
        <v>7.4244675682588441E-7</v>
      </c>
      <c r="HJ52" s="20">
        <v>3.9032198180077383E-6</v>
      </c>
      <c r="HK52" s="20">
        <v>1.9087472730746704E-7</v>
      </c>
      <c r="HL52" s="20">
        <v>1.8883164783868275E-3</v>
      </c>
      <c r="HM52" s="20">
        <v>2.3190437495788593E-5</v>
      </c>
      <c r="HN52" s="20" t="s">
        <v>134</v>
      </c>
      <c r="HO52" s="20" t="s">
        <v>134</v>
      </c>
      <c r="HP52" s="20" t="s">
        <v>134</v>
      </c>
      <c r="HQ52" s="20" t="s">
        <v>134</v>
      </c>
      <c r="HR52" s="20" t="s">
        <v>134</v>
      </c>
      <c r="HS52" s="20" t="s">
        <v>134</v>
      </c>
      <c r="HT52" s="20" t="s">
        <v>134</v>
      </c>
      <c r="HU52" s="20" t="s">
        <v>134</v>
      </c>
      <c r="HV52" s="20">
        <v>8.7568797421665213E-3</v>
      </c>
      <c r="HW52" s="20">
        <v>2.3018646147980471E-4</v>
      </c>
      <c r="HX52" s="20">
        <v>1.0598114593153155E-4</v>
      </c>
      <c r="HY52" s="20">
        <v>3.8691190902028944E-6</v>
      </c>
      <c r="HZ52" s="20" t="s">
        <v>134</v>
      </c>
      <c r="IA52" s="20" t="s">
        <v>134</v>
      </c>
      <c r="IB52" s="20">
        <v>7.3315784760276923</v>
      </c>
      <c r="IC52" s="20">
        <v>0.13168136998103777</v>
      </c>
      <c r="ID52" s="20">
        <v>51.669160872216217</v>
      </c>
      <c r="IE52" s="20">
        <v>0.93964595924584804</v>
      </c>
      <c r="IF52" s="20">
        <v>6.7742447261260025E-2</v>
      </c>
      <c r="IG52" s="20">
        <v>2.4886134411171247E-2</v>
      </c>
      <c r="IH52" s="20">
        <v>0.85910408230114588</v>
      </c>
      <c r="II52" s="20">
        <v>5.0007183972462246E-2</v>
      </c>
      <c r="IJ52" s="20">
        <v>1.6234209361137455</v>
      </c>
      <c r="IK52" s="20">
        <v>0.11326088131642352</v>
      </c>
      <c r="IL52" s="20">
        <v>0.43360237119031081</v>
      </c>
      <c r="IM52" s="20">
        <v>3.0402720562844966E-2</v>
      </c>
      <c r="IN52" s="20">
        <v>8.7217692350301072E-3</v>
      </c>
      <c r="IO52" s="20">
        <v>2.3705094781450468E-3</v>
      </c>
      <c r="IP52" s="20">
        <v>0.14605270546670673</v>
      </c>
      <c r="IQ52" s="20">
        <v>3.3123713883066678E-3</v>
      </c>
      <c r="IR52" s="20">
        <v>1.2495939913774541E-2</v>
      </c>
      <c r="IS52" s="20">
        <v>2.8329803669143953E-3</v>
      </c>
      <c r="IT52" s="20">
        <v>0.33786492912743493</v>
      </c>
      <c r="IU52" s="20">
        <v>4.5424850401199778E-2</v>
      </c>
      <c r="IV52" s="20">
        <v>0.59228841821783274</v>
      </c>
      <c r="IW52" s="20">
        <v>9.7505358579170892E-3</v>
      </c>
      <c r="IX52" s="20" t="s">
        <v>134</v>
      </c>
      <c r="IY52" s="20" t="s">
        <v>134</v>
      </c>
      <c r="IZ52" s="20">
        <v>0.34154551263573862</v>
      </c>
      <c r="JA52" s="20">
        <v>8.5467187371263929E-3</v>
      </c>
      <c r="JB52" s="20">
        <v>4.1574767023225427E-2</v>
      </c>
      <c r="JC52" s="20">
        <v>4.9871964061142865E-3</v>
      </c>
      <c r="JD52" s="20">
        <v>1.4866050731483984E-3</v>
      </c>
      <c r="JE52" s="20">
        <v>2.8048382445652422E-3</v>
      </c>
      <c r="JF52" s="20">
        <v>8.5186541844932545E-2</v>
      </c>
      <c r="JG52" s="20">
        <v>3.758940266918199E-3</v>
      </c>
      <c r="JH52" s="20">
        <v>6.919908724009504E-3</v>
      </c>
      <c r="JI52" s="20">
        <v>8.0462242701297027E-3</v>
      </c>
      <c r="JJ52" s="20">
        <v>3.347344510973924E-4</v>
      </c>
      <c r="JK52" s="20">
        <v>1.4592357255269182E-3</v>
      </c>
      <c r="JL52" s="20">
        <v>3.0395822214609916E-2</v>
      </c>
      <c r="JM52" s="20">
        <v>1.2989463047973003E-3</v>
      </c>
      <c r="JN52" s="20">
        <v>1.6371931120875767E-2</v>
      </c>
      <c r="JO52" s="20">
        <v>1.8119743843622504E-3</v>
      </c>
      <c r="JP52" s="20">
        <v>4.4854745789873286E-2</v>
      </c>
      <c r="JQ52" s="20">
        <v>2.2148495955002833E-3</v>
      </c>
      <c r="JR52" s="20" t="s">
        <v>134</v>
      </c>
      <c r="JS52" s="20" t="s">
        <v>134</v>
      </c>
      <c r="JT52" s="20" t="s">
        <v>134</v>
      </c>
      <c r="JU52" s="20" t="s">
        <v>134</v>
      </c>
      <c r="JV52" s="20">
        <v>9.6259114300820581E-4</v>
      </c>
      <c r="JW52" s="20">
        <v>7.6774192008983752E-5</v>
      </c>
      <c r="JX52" s="20">
        <v>9.6715340464164478E-3</v>
      </c>
      <c r="JY52" s="20">
        <v>1.4437960014614803E-3</v>
      </c>
      <c r="JZ52" s="20" t="s">
        <v>134</v>
      </c>
      <c r="KA52" s="20" t="s">
        <v>134</v>
      </c>
      <c r="KB52" s="20">
        <v>0.44100878292455048</v>
      </c>
      <c r="KC52" s="20">
        <v>4.4095552800888149E-3</v>
      </c>
      <c r="KD52" s="20">
        <v>2.8358490334491615E-4</v>
      </c>
      <c r="KE52" s="20">
        <v>3.6162421799843043E-5</v>
      </c>
      <c r="KF52" s="20">
        <v>5.0204796440534291E-3</v>
      </c>
      <c r="KG52" s="20">
        <v>7.566459354822435E-5</v>
      </c>
      <c r="KH52" s="20" t="s">
        <v>134</v>
      </c>
      <c r="KI52" s="20" t="s">
        <v>134</v>
      </c>
      <c r="KJ52" s="20">
        <v>1.6312273131158703E-4</v>
      </c>
      <c r="KK52" s="20">
        <v>4.9209878858121048E-4</v>
      </c>
      <c r="KL52" s="20">
        <v>14.381077886015371</v>
      </c>
      <c r="KM52" s="20">
        <v>0.11548716946373515</v>
      </c>
      <c r="KN52" s="20">
        <v>8.8019205940253319E-3</v>
      </c>
      <c r="KO52" s="20">
        <v>5.2648359784571413E-4</v>
      </c>
    </row>
    <row r="53" spans="1:358" s="14" customFormat="1">
      <c r="A53" s="14" t="s">
        <v>132</v>
      </c>
      <c r="B53" s="14" t="s">
        <v>93</v>
      </c>
      <c r="C53" s="14" t="s">
        <v>94</v>
      </c>
      <c r="D53" s="14">
        <v>90</v>
      </c>
      <c r="E53" s="16">
        <v>0.22204400722364795</v>
      </c>
      <c r="F53" s="18">
        <v>0.29229862089297992</v>
      </c>
      <c r="G53" s="19">
        <v>63.495575179474699</v>
      </c>
      <c r="H53" s="19">
        <v>27.674257203991729</v>
      </c>
      <c r="I53" s="19">
        <v>8.830167616533565</v>
      </c>
      <c r="J53" s="16">
        <v>0.65202488230952338</v>
      </c>
      <c r="K53" s="16">
        <v>8.6661528800101202E-3</v>
      </c>
      <c r="L53" s="16">
        <v>7.5873233067392631E-2</v>
      </c>
      <c r="M53" s="16">
        <v>2.5390661231099372E-4</v>
      </c>
      <c r="N53" s="16">
        <v>-26.503584979999999</v>
      </c>
      <c r="O53" s="16">
        <v>4.6583091657992737E-2</v>
      </c>
      <c r="P53" s="21">
        <f>J53/L53</f>
        <v>8.5936087859914636</v>
      </c>
      <c r="Q53" s="16">
        <v>0.87711499999999998</v>
      </c>
      <c r="R53" s="16">
        <v>4.6780391191182311E-3</v>
      </c>
      <c r="S53" s="16">
        <v>9.1684999999999989E-2</v>
      </c>
      <c r="T53" s="16">
        <v>2.8920667350529768E-3</v>
      </c>
      <c r="U53" s="15">
        <v>0.21401635143288084</v>
      </c>
      <c r="V53" s="15">
        <v>1.5846550808153246E-3</v>
      </c>
      <c r="W53" s="21">
        <v>-787.71113695660279</v>
      </c>
      <c r="X53" s="21">
        <v>1.5846550808153246</v>
      </c>
      <c r="Y53" s="19">
        <v>12380</v>
      </c>
      <c r="Z53" s="14">
        <v>60</v>
      </c>
      <c r="AA53" s="15">
        <v>7.4998278479861638E-2</v>
      </c>
      <c r="AB53" s="15">
        <v>8.9696798530313425E-4</v>
      </c>
      <c r="AC53" s="15">
        <v>1.1393758260747678E-3</v>
      </c>
      <c r="AD53" s="15">
        <v>1.3386022285729338E-4</v>
      </c>
      <c r="AE53" s="20">
        <v>5.3993939227798188E-2</v>
      </c>
      <c r="AF53" s="20">
        <v>3.7521833905378865E-4</v>
      </c>
      <c r="AG53" s="20">
        <v>6.7858212740071491E-2</v>
      </c>
      <c r="AH53" s="20">
        <v>1.0016001636432689E-3</v>
      </c>
      <c r="AI53" s="20">
        <v>4.2597872285991274E-2</v>
      </c>
      <c r="AJ53" s="20">
        <v>7.8657873621492476E-4</v>
      </c>
      <c r="AK53" s="20">
        <v>1.0621476758179884E-3</v>
      </c>
      <c r="AL53" s="20">
        <v>1.7210860267973461E-5</v>
      </c>
      <c r="AM53" s="20">
        <v>0.21641603548338484</v>
      </c>
      <c r="AN53" s="20">
        <v>8.6221135515008717E-3</v>
      </c>
      <c r="AO53" s="20">
        <v>6.7673986793312865E-2</v>
      </c>
      <c r="AP53" s="20">
        <v>1.2317873364085198E-3</v>
      </c>
      <c r="AQ53" s="20">
        <v>1.6140438134942744E-2</v>
      </c>
      <c r="AR53" s="20">
        <v>1.2608710083932687E-4</v>
      </c>
      <c r="AS53" s="20">
        <v>7.1163869392425428E-3</v>
      </c>
      <c r="AT53" s="20">
        <v>9.8316813156364236E-6</v>
      </c>
      <c r="AU53" s="20">
        <v>1.7329836692536009E-2</v>
      </c>
      <c r="AV53" s="20">
        <v>3.6475070124866253E-5</v>
      </c>
      <c r="AW53" s="20">
        <v>1.1916362195784069E-2</v>
      </c>
      <c r="AX53" s="20">
        <v>4.0161599726671282E-5</v>
      </c>
      <c r="AY53" s="20">
        <v>8.3071646486490673E-3</v>
      </c>
      <c r="AZ53" s="20">
        <v>2.1004467116892981E-5</v>
      </c>
      <c r="BA53" s="20">
        <v>1.1351270399032418E-3</v>
      </c>
      <c r="BB53" s="20">
        <v>6.5819838636506884E-6</v>
      </c>
      <c r="BC53" s="20">
        <v>0.11737136327006467</v>
      </c>
      <c r="BD53" s="20">
        <v>1.106205688257172E-4</v>
      </c>
      <c r="BE53" s="20">
        <v>9.2043992674789868E-2</v>
      </c>
      <c r="BF53" s="20">
        <v>1.8539014298185085E-4</v>
      </c>
      <c r="BG53" s="20">
        <v>1.2150055938110324E-6</v>
      </c>
      <c r="BH53" s="67">
        <v>1.6349904193896439E-8</v>
      </c>
      <c r="BI53" s="20">
        <v>1.2663727472393265E-2</v>
      </c>
      <c r="BJ53" s="20">
        <v>3.5165269632024708E-5</v>
      </c>
      <c r="BK53" s="20">
        <v>1.9154938196915272E-2</v>
      </c>
      <c r="BL53" s="20">
        <v>9.5622031791691228E-5</v>
      </c>
      <c r="BM53" s="20">
        <v>9.4376009649700492E-3</v>
      </c>
      <c r="BN53" s="20">
        <v>6.4103414188381022E-3</v>
      </c>
      <c r="BO53" s="20" t="s">
        <v>134</v>
      </c>
      <c r="BP53" s="20" t="s">
        <v>135</v>
      </c>
      <c r="BQ53" s="20">
        <v>2.6227860686023439E-4</v>
      </c>
      <c r="BR53" s="20">
        <v>6.6994420209507222E-7</v>
      </c>
      <c r="BS53" s="20">
        <v>1.0847252313867161E-2</v>
      </c>
      <c r="BT53" s="20">
        <v>7.1544430536449392E-5</v>
      </c>
      <c r="BU53" s="20">
        <v>2.6871919252782938E-2</v>
      </c>
      <c r="BV53" s="20">
        <v>2.4413201458867727E-5</v>
      </c>
      <c r="BW53" s="18">
        <v>6.8977866132032162E-2</v>
      </c>
      <c r="BX53" s="18">
        <v>2.7809732838969228E-3</v>
      </c>
      <c r="BY53" s="15">
        <v>2.2493589080284475E-3</v>
      </c>
      <c r="BZ53" s="18">
        <v>4.1572260128832125E-2</v>
      </c>
      <c r="CA53" s="18">
        <v>2.0658763560843271E-2</v>
      </c>
      <c r="CB53" s="18">
        <v>8.1992891418498238E-3</v>
      </c>
      <c r="CC53" s="15">
        <v>4.7058360515887833E-3</v>
      </c>
      <c r="CD53" s="16">
        <v>1.1081651211828305</v>
      </c>
      <c r="CE53" s="16">
        <v>6.8619245149971286</v>
      </c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20">
        <v>1.3820197387329876E-9</v>
      </c>
      <c r="CY53" s="20">
        <v>2.9351729269145728E-10</v>
      </c>
      <c r="CZ53" s="20">
        <v>4.2234470295439736E-8</v>
      </c>
      <c r="DA53" s="20">
        <v>3.6083008204181046E-8</v>
      </c>
      <c r="DB53" s="20">
        <v>6.5098858802406854E-7</v>
      </c>
      <c r="DC53" s="20">
        <v>1.2780651201531848E-8</v>
      </c>
      <c r="DD53" s="20">
        <v>7.7579638325924918E-9</v>
      </c>
      <c r="DE53" s="20">
        <v>1.482967839862427E-9</v>
      </c>
      <c r="DF53" s="20">
        <v>2.3231627140227652E-7</v>
      </c>
      <c r="DG53" s="20">
        <v>1.2459794713877794E-8</v>
      </c>
      <c r="DH53" s="20">
        <v>6.4732712250360363E-8</v>
      </c>
      <c r="DI53" s="20">
        <v>1.9760872486713166E-9</v>
      </c>
      <c r="DJ53" s="20">
        <v>1.2804817480024919E-10</v>
      </c>
      <c r="DK53" s="20">
        <v>2.3471047827956973E-12</v>
      </c>
      <c r="DL53" s="20" t="s">
        <v>134</v>
      </c>
      <c r="DM53" s="20" t="s">
        <v>134</v>
      </c>
      <c r="DN53" s="20">
        <v>1.016209137301751E-8</v>
      </c>
      <c r="DO53" s="20">
        <v>1.6669419298636597E-10</v>
      </c>
      <c r="DP53" s="20">
        <v>5.275675540983251E-6</v>
      </c>
      <c r="DQ53" s="20">
        <v>3.1653174734941664E-8</v>
      </c>
      <c r="DR53" s="20">
        <v>1.7842494471753004E-9</v>
      </c>
      <c r="DS53" s="20">
        <v>5.5567103599575673E-11</v>
      </c>
      <c r="DT53" s="20" t="s">
        <v>134</v>
      </c>
      <c r="DU53" s="20" t="s">
        <v>134</v>
      </c>
      <c r="DV53" s="20" t="s">
        <v>134</v>
      </c>
      <c r="DW53" s="20" t="s">
        <v>134</v>
      </c>
      <c r="DX53" s="20" t="s">
        <v>134</v>
      </c>
      <c r="DY53" s="20" t="s">
        <v>134</v>
      </c>
      <c r="DZ53" s="20" t="s">
        <v>134</v>
      </c>
      <c r="EA53" s="20" t="s">
        <v>134</v>
      </c>
      <c r="EB53" s="20">
        <v>-3.1815205009948027E-11</v>
      </c>
      <c r="EC53" s="20">
        <v>1.2163814056466844E-11</v>
      </c>
      <c r="ED53" s="20">
        <v>-4.5729680502893638E-10</v>
      </c>
      <c r="EE53" s="20">
        <v>3.8300128676820357E-11</v>
      </c>
      <c r="EF53" s="20">
        <v>5.0042052133488777E-11</v>
      </c>
      <c r="EG53" s="20">
        <v>1.6392058975579234E-12</v>
      </c>
      <c r="EH53" s="20">
        <v>8.9846061846068877E-9</v>
      </c>
      <c r="EI53" s="20">
        <v>1.5157896925322765E-10</v>
      </c>
      <c r="EJ53" s="20" t="s">
        <v>134</v>
      </c>
      <c r="EK53" s="20" t="s">
        <v>134</v>
      </c>
      <c r="EL53" s="20">
        <v>6.9946565088254135E-10</v>
      </c>
      <c r="EM53" s="20">
        <v>8.1614650769517286E-12</v>
      </c>
      <c r="EN53" s="20" t="s">
        <v>134</v>
      </c>
      <c r="EO53" s="20" t="s">
        <v>134</v>
      </c>
      <c r="EP53" s="20" t="s">
        <v>134</v>
      </c>
      <c r="EQ53" s="20" t="s">
        <v>134</v>
      </c>
      <c r="ER53" s="20" t="s">
        <v>134</v>
      </c>
      <c r="ES53" s="20" t="s">
        <v>134</v>
      </c>
      <c r="ET53" s="20">
        <v>2.0304021884727794E-10</v>
      </c>
      <c r="EU53" s="20">
        <v>4.7749258687845562E-12</v>
      </c>
      <c r="EV53" s="20" t="s">
        <v>134</v>
      </c>
      <c r="EW53" s="20" t="s">
        <v>134</v>
      </c>
      <c r="EX53" s="20">
        <v>4.8793337501489983E-9</v>
      </c>
      <c r="EY53" s="20">
        <v>8.3321559509333494E-11</v>
      </c>
      <c r="EZ53" s="20" t="s">
        <v>134</v>
      </c>
      <c r="FA53" s="20" t="s">
        <v>134</v>
      </c>
      <c r="FB53" s="20" t="s">
        <v>134</v>
      </c>
      <c r="FC53" s="20" t="s">
        <v>134</v>
      </c>
      <c r="FD53" s="20" t="s">
        <v>134</v>
      </c>
      <c r="FE53" s="20" t="s">
        <v>134</v>
      </c>
      <c r="FF53" s="20" t="s">
        <v>134</v>
      </c>
      <c r="FG53" s="20" t="s">
        <v>134</v>
      </c>
      <c r="FH53" s="20">
        <v>6.6408412828850785E-9</v>
      </c>
      <c r="FI53" s="20">
        <v>1.0191712052825963E-9</v>
      </c>
      <c r="FJ53" s="20">
        <v>6.2202020587479227E-10</v>
      </c>
      <c r="FK53" s="20">
        <v>2.2424099145478038E-11</v>
      </c>
      <c r="FL53" s="20">
        <v>2.9098693602989606E-3</v>
      </c>
      <c r="FM53" s="20">
        <v>8.8083932503885446E-5</v>
      </c>
      <c r="FN53" s="20">
        <v>1.0240716786588189</v>
      </c>
      <c r="FO53" s="20">
        <v>1.0600068895514861E-2</v>
      </c>
      <c r="FP53" s="20">
        <v>0.29002030071626839</v>
      </c>
      <c r="FQ53" s="20">
        <v>5.6813926971337123E-3</v>
      </c>
      <c r="FR53" s="20">
        <v>2.6989062390519358E-2</v>
      </c>
      <c r="FS53" s="20">
        <v>4.367315079106211E-4</v>
      </c>
      <c r="FT53" s="20">
        <v>0.36225006022285222</v>
      </c>
      <c r="FU53" s="20">
        <v>4.0023225933135181E-3</v>
      </c>
      <c r="FV53" s="20">
        <v>5.3218345570578217E-2</v>
      </c>
      <c r="FW53" s="20">
        <v>7.76066421842044E-4</v>
      </c>
      <c r="FX53" s="20">
        <v>5.6926519971187177E-5</v>
      </c>
      <c r="FY53" s="20">
        <v>1.0434549926285104E-6</v>
      </c>
      <c r="FZ53" s="20" t="s">
        <v>134</v>
      </c>
      <c r="GA53" s="20" t="s">
        <v>134</v>
      </c>
      <c r="GB53" s="20">
        <v>4.5177723024755244E-3</v>
      </c>
      <c r="GC53" s="20">
        <v>7.4107423404685851E-5</v>
      </c>
      <c r="GD53" s="20">
        <v>2.3525497435376699</v>
      </c>
      <c r="GE53" s="20">
        <v>1.4070846739205365E-2</v>
      </c>
      <c r="GF53" s="20">
        <v>7.9322576793188892E-4</v>
      </c>
      <c r="GG53" s="20">
        <v>2.4703529259490201E-5</v>
      </c>
      <c r="GH53" s="20" t="s">
        <v>134</v>
      </c>
      <c r="GI53" s="20" t="s">
        <v>134</v>
      </c>
      <c r="GJ53" s="20" t="s">
        <v>134</v>
      </c>
      <c r="GK53" s="20" t="s">
        <v>134</v>
      </c>
      <c r="GL53" s="20" t="s">
        <v>134</v>
      </c>
      <c r="GM53" s="20" t="s">
        <v>134</v>
      </c>
      <c r="GN53" s="20" t="s">
        <v>134</v>
      </c>
      <c r="GO53" s="20" t="s">
        <v>134</v>
      </c>
      <c r="GP53" s="20">
        <v>1.4064313455343656E-4</v>
      </c>
      <c r="GQ53" s="20">
        <v>5.1345261523038389E-6</v>
      </c>
      <c r="GR53" s="20">
        <v>1.6199233546878203E-4</v>
      </c>
      <c r="GS53" s="20">
        <v>1.1533251179835182E-5</v>
      </c>
      <c r="GT53" s="20">
        <v>2.2247250963320213E-5</v>
      </c>
      <c r="GU53" s="20">
        <v>7.2874359521161516E-7</v>
      </c>
      <c r="GV53" s="20">
        <v>3.9942963982043458E-3</v>
      </c>
      <c r="GW53" s="20">
        <v>6.7387631521234609E-5</v>
      </c>
      <c r="GX53" s="20" t="s">
        <v>134</v>
      </c>
      <c r="GY53" s="20" t="s">
        <v>134</v>
      </c>
      <c r="GZ53" s="20">
        <v>3.1096222500820008E-4</v>
      </c>
      <c r="HA53" s="20">
        <v>3.6283516373584043E-6</v>
      </c>
      <c r="HB53" s="20" t="s">
        <v>134</v>
      </c>
      <c r="HC53" s="20" t="s">
        <v>134</v>
      </c>
      <c r="HD53" s="20" t="s">
        <v>134</v>
      </c>
      <c r="HE53" s="20" t="s">
        <v>134</v>
      </c>
      <c r="HF53" s="20" t="s">
        <v>134</v>
      </c>
      <c r="HG53" s="20" t="s">
        <v>134</v>
      </c>
      <c r="HH53" s="20">
        <v>9.0265816683404135E-5</v>
      </c>
      <c r="HI53" s="20">
        <v>2.1227941222460388E-6</v>
      </c>
      <c r="HJ53" s="20" t="s">
        <v>134</v>
      </c>
      <c r="HK53" s="20" t="s">
        <v>134</v>
      </c>
      <c r="HL53" s="20">
        <v>2.2817715408763916E-3</v>
      </c>
      <c r="HM53" s="20">
        <v>3.6991273757167033E-5</v>
      </c>
      <c r="HN53" s="20" t="s">
        <v>134</v>
      </c>
      <c r="HO53" s="20" t="s">
        <v>134</v>
      </c>
      <c r="HP53" s="20" t="s">
        <v>134</v>
      </c>
      <c r="HQ53" s="20" t="s">
        <v>134</v>
      </c>
      <c r="HR53" s="20" t="s">
        <v>134</v>
      </c>
      <c r="HS53" s="20" t="s">
        <v>134</v>
      </c>
      <c r="HT53" s="20" t="s">
        <v>134</v>
      </c>
      <c r="HU53" s="20" t="s">
        <v>134</v>
      </c>
      <c r="HV53" s="20">
        <v>9.2330568108473284E-3</v>
      </c>
      <c r="HW53" s="20">
        <v>3.4942561329707577E-4</v>
      </c>
      <c r="HX53" s="20">
        <v>2.7653221709290942E-4</v>
      </c>
      <c r="HY53" s="20">
        <v>9.9691067821331631E-6</v>
      </c>
      <c r="HZ53" s="20" t="s">
        <v>134</v>
      </c>
      <c r="IA53" s="20" t="s">
        <v>134</v>
      </c>
      <c r="IB53" s="20">
        <v>7.5432214187232471</v>
      </c>
      <c r="IC53" s="20">
        <v>0.10872058040673882</v>
      </c>
      <c r="ID53" s="20">
        <v>24.202573419188329</v>
      </c>
      <c r="IE53" s="20">
        <v>0.75526244417403909</v>
      </c>
      <c r="IF53" s="20">
        <v>2.9668889369421997E-2</v>
      </c>
      <c r="IG53" s="20">
        <v>2.8666249975989322E-2</v>
      </c>
      <c r="IH53" s="20">
        <v>0.92538736480579609</v>
      </c>
      <c r="II53" s="20">
        <v>6.1762104100961453E-2</v>
      </c>
      <c r="IJ53" s="20">
        <v>1.400741699432686</v>
      </c>
      <c r="IK53" s="20">
        <v>0.1428572843213321</v>
      </c>
      <c r="IL53" s="20">
        <v>0.41840477683564131</v>
      </c>
      <c r="IM53" s="20">
        <v>3.7305205126867205E-2</v>
      </c>
      <c r="IN53" s="20">
        <v>9.4223721183475818E-3</v>
      </c>
      <c r="IO53" s="20">
        <v>2.7544761212298765E-3</v>
      </c>
      <c r="IP53" s="20">
        <v>0.16484289098855759</v>
      </c>
      <c r="IQ53" s="20">
        <v>3.3763189803335341E-3</v>
      </c>
      <c r="IR53" s="20">
        <v>7.0318792078210976E-3</v>
      </c>
      <c r="IS53" s="20">
        <v>3.2794395802279745E-3</v>
      </c>
      <c r="IT53" s="20">
        <v>0.19270387582816753</v>
      </c>
      <c r="IU53" s="20">
        <v>5.1662119300714265E-2</v>
      </c>
      <c r="IV53" s="20">
        <v>0.78413879683473731</v>
      </c>
      <c r="IW53" s="20">
        <v>1.2005861134976906E-2</v>
      </c>
      <c r="IX53" s="20">
        <v>9.5177474269708393E-2</v>
      </c>
      <c r="IY53" s="20">
        <v>5.3888714069219468E-2</v>
      </c>
      <c r="IZ53" s="20">
        <v>0.32500950638970016</v>
      </c>
      <c r="JA53" s="20">
        <v>1.1282845667444407E-2</v>
      </c>
      <c r="JB53" s="20">
        <v>4.41059439567595E-2</v>
      </c>
      <c r="JC53" s="20">
        <v>5.7207737621283172E-3</v>
      </c>
      <c r="JD53" s="20">
        <v>1.7876390637335813E-3</v>
      </c>
      <c r="JE53" s="20">
        <v>3.2630725176223713E-3</v>
      </c>
      <c r="JF53" s="20">
        <v>8.0883127978912658E-2</v>
      </c>
      <c r="JG53" s="20">
        <v>4.3183963603441195E-3</v>
      </c>
      <c r="JH53" s="20">
        <v>8.5497503085481871E-3</v>
      </c>
      <c r="JI53" s="20">
        <v>9.3941542171492587E-3</v>
      </c>
      <c r="JJ53" s="20">
        <v>3.0238882227237129E-4</v>
      </c>
      <c r="JK53" s="20">
        <v>1.6979776187148218E-3</v>
      </c>
      <c r="JL53" s="20">
        <v>3.1998500951986079E-2</v>
      </c>
      <c r="JM53" s="20">
        <v>1.4711828553662159E-3</v>
      </c>
      <c r="JN53" s="20">
        <v>1.9664076089243761E-2</v>
      </c>
      <c r="JO53" s="20">
        <v>2.121250107093632E-3</v>
      </c>
      <c r="JP53" s="20">
        <v>4.2848735206029283E-2</v>
      </c>
      <c r="JQ53" s="20">
        <v>2.4980019344295742E-3</v>
      </c>
      <c r="JR53" s="20" t="s">
        <v>134</v>
      </c>
      <c r="JS53" s="20" t="s">
        <v>134</v>
      </c>
      <c r="JT53" s="20" t="s">
        <v>134</v>
      </c>
      <c r="JU53" s="20" t="s">
        <v>134</v>
      </c>
      <c r="JV53" s="20">
        <v>2.77898961003335E-2</v>
      </c>
      <c r="JW53" s="20">
        <v>5.3407500092981358E-4</v>
      </c>
      <c r="JX53" s="20">
        <v>1.4085658144824313E-2</v>
      </c>
      <c r="JY53" s="20">
        <v>1.6766313294967541E-3</v>
      </c>
      <c r="JZ53" s="20" t="s">
        <v>134</v>
      </c>
      <c r="KA53" s="20" t="s">
        <v>134</v>
      </c>
      <c r="KB53" s="20">
        <v>0.45955253082849323</v>
      </c>
      <c r="KC53" s="20">
        <v>5.095863163660546E-3</v>
      </c>
      <c r="KD53" s="20">
        <v>2.190784697364132E-4</v>
      </c>
      <c r="KE53" s="20">
        <v>3.9663872428284451E-5</v>
      </c>
      <c r="KF53" s="20">
        <v>4.4124307023716116E-3</v>
      </c>
      <c r="KG53" s="20">
        <v>4.6970565318878141E-5</v>
      </c>
      <c r="KH53" s="20" t="s">
        <v>134</v>
      </c>
      <c r="KI53" s="20" t="s">
        <v>134</v>
      </c>
      <c r="KJ53" s="20">
        <v>1.0065319435668098E-4</v>
      </c>
      <c r="KK53" s="20">
        <v>5.7335337980377022E-4</v>
      </c>
      <c r="KL53" s="20">
        <v>5.2960115227500459</v>
      </c>
      <c r="KM53" s="20">
        <v>0.11927090765765316</v>
      </c>
      <c r="KN53" s="20">
        <v>9.527613105310551E-3</v>
      </c>
      <c r="KO53" s="20">
        <v>2.5851709009220035E-4</v>
      </c>
    </row>
    <row r="54" spans="1:358" s="14" customFormat="1">
      <c r="A54" s="14" t="s">
        <v>133</v>
      </c>
      <c r="B54" s="3" t="s">
        <v>103</v>
      </c>
      <c r="C54" s="4" t="s">
        <v>6</v>
      </c>
      <c r="D54" s="4">
        <v>7.5</v>
      </c>
      <c r="F54" s="18">
        <v>0.4612545048659849</v>
      </c>
      <c r="G54" s="18"/>
      <c r="H54" s="18"/>
      <c r="I54" s="18"/>
      <c r="J54" s="4"/>
      <c r="K54" s="4"/>
      <c r="L54" s="4"/>
      <c r="M54" s="4"/>
      <c r="N54" s="4"/>
      <c r="O54" s="4"/>
      <c r="P54" s="4"/>
      <c r="Q54" s="16">
        <v>4.3080349999999994</v>
      </c>
      <c r="R54" s="16">
        <v>7.906962122079586E-3</v>
      </c>
      <c r="S54" s="16">
        <v>1.5465E-2</v>
      </c>
      <c r="T54" s="16">
        <v>1.421284630184959E-3</v>
      </c>
      <c r="U54" s="4"/>
      <c r="V54" s="4"/>
      <c r="W54" s="4"/>
      <c r="X54" s="4"/>
      <c r="Y54" s="4"/>
      <c r="Z54" s="4"/>
      <c r="AA54" s="15">
        <v>0.16224979468421249</v>
      </c>
      <c r="AB54" s="15">
        <v>4.7291502651534848E-3</v>
      </c>
      <c r="AC54" s="15">
        <v>8.5418854430411445E-3</v>
      </c>
      <c r="AD54" s="15">
        <v>8.4706619855158061E-4</v>
      </c>
      <c r="AE54" s="20">
        <v>3.686484231253577E-2</v>
      </c>
      <c r="AF54" s="20">
        <v>2.2412369269612974E-3</v>
      </c>
      <c r="AG54" s="20">
        <v>9.4713288184523986E-2</v>
      </c>
      <c r="AH54" s="20">
        <v>7.2969990351776544E-3</v>
      </c>
      <c r="AI54" s="20">
        <v>4.9810426322659224E-2</v>
      </c>
      <c r="AJ54" s="20">
        <v>1.210437884693396E-3</v>
      </c>
      <c r="AK54" s="20">
        <v>1.6667767431948737E-3</v>
      </c>
      <c r="AL54" s="20">
        <v>4.0213515127051101E-4</v>
      </c>
      <c r="AM54" s="20">
        <v>0.15423914419537932</v>
      </c>
      <c r="AN54" s="20">
        <v>6.485919429447558E-3</v>
      </c>
      <c r="AO54" s="20">
        <v>0.14319115756533213</v>
      </c>
      <c r="AP54" s="20">
        <v>7.7983409820575837E-3</v>
      </c>
      <c r="AQ54" s="20">
        <v>7.3169337167657451E-3</v>
      </c>
      <c r="AR54" s="20">
        <v>5.942399885002196E-4</v>
      </c>
      <c r="AS54" s="20">
        <v>2.3358661428999637E-2</v>
      </c>
      <c r="AT54" s="20">
        <v>1.2697725736136275E-5</v>
      </c>
      <c r="AU54" s="20">
        <v>2.58121419012169E-2</v>
      </c>
      <c r="AV54" s="20">
        <v>9.087481074360086E-5</v>
      </c>
      <c r="AW54" s="20">
        <v>1.3044749468690935E-2</v>
      </c>
      <c r="AX54" s="20">
        <v>1.8780153196108099E-5</v>
      </c>
      <c r="AY54" s="20">
        <v>4.8097591002707954E-3</v>
      </c>
      <c r="AZ54" s="20">
        <v>2.4605466248877481E-5</v>
      </c>
      <c r="BA54" s="20">
        <v>1.7108009614554998E-3</v>
      </c>
      <c r="BB54" s="20">
        <v>3.0610004848641532E-6</v>
      </c>
      <c r="BC54" s="20">
        <v>0.129259685655258</v>
      </c>
      <c r="BD54" s="20">
        <v>1.0279851372543397E-4</v>
      </c>
      <c r="BE54" s="20">
        <v>0.21628989988534239</v>
      </c>
      <c r="BF54" s="20">
        <v>1.5471641794655366E-3</v>
      </c>
      <c r="BG54" s="20">
        <v>8.8864750330311646E-7</v>
      </c>
      <c r="BH54" s="67">
        <v>2.8499169717980232E-8</v>
      </c>
      <c r="BI54" s="20">
        <v>6.6373357398072132E-3</v>
      </c>
      <c r="BJ54" s="20">
        <v>2.6586096636293712E-6</v>
      </c>
      <c r="BK54" s="20">
        <v>5.0390599601653457E-2</v>
      </c>
      <c r="BL54" s="20">
        <v>4.0285970565109088E-4</v>
      </c>
      <c r="BM54" s="20">
        <v>7.9999149135942544E-3</v>
      </c>
      <c r="BN54" s="20">
        <v>3.9069333515866748E-4</v>
      </c>
      <c r="BO54" s="20" t="s">
        <v>134</v>
      </c>
      <c r="BP54" s="20" t="s">
        <v>135</v>
      </c>
      <c r="BQ54" s="20">
        <v>8.0909360473770998E-4</v>
      </c>
      <c r="BR54" s="20">
        <v>7.2646076139314618E-8</v>
      </c>
      <c r="BS54" s="20">
        <v>2.8056548660900893E-3</v>
      </c>
      <c r="BT54" s="20">
        <v>2.6651907693469259E-5</v>
      </c>
      <c r="BU54" s="20">
        <v>0.15608239059238238</v>
      </c>
      <c r="BV54" s="20">
        <v>4.3134006413638435E-4</v>
      </c>
      <c r="BW54" s="60"/>
      <c r="BX54" s="60"/>
    </row>
    <row r="55" spans="1:358" s="14" customFormat="1">
      <c r="A55" s="14" t="s">
        <v>133</v>
      </c>
      <c r="B55" s="3" t="s">
        <v>104</v>
      </c>
      <c r="C55" s="4" t="s">
        <v>8</v>
      </c>
      <c r="D55" s="4">
        <v>22.5</v>
      </c>
      <c r="F55" s="18">
        <v>0.36168472704968296</v>
      </c>
      <c r="G55" s="18"/>
      <c r="H55" s="18"/>
      <c r="I55" s="18"/>
      <c r="J55" s="4"/>
      <c r="K55" s="4"/>
      <c r="L55" s="4"/>
      <c r="M55" s="4"/>
      <c r="N55" s="4"/>
      <c r="O55" s="4"/>
      <c r="P55" s="4"/>
      <c r="Q55" s="16">
        <v>2.1700149999999998</v>
      </c>
      <c r="R55" s="16">
        <v>3.5355975449702227E-3</v>
      </c>
      <c r="S55" s="16">
        <v>1.4485000000000001E-2</v>
      </c>
      <c r="T55" s="16">
        <v>2.121320343559679E-5</v>
      </c>
      <c r="U55" s="4"/>
      <c r="V55" s="4"/>
      <c r="W55" s="4"/>
      <c r="X55" s="4"/>
      <c r="Y55" s="4"/>
      <c r="Z55" s="4"/>
      <c r="AA55" s="15">
        <v>0.13369908346949888</v>
      </c>
      <c r="AB55" s="15">
        <v>9.1423801850784095E-3</v>
      </c>
      <c r="AC55" s="15">
        <v>3.9741492169018192E-3</v>
      </c>
      <c r="AD55" s="15">
        <v>1.6681925395082873E-4</v>
      </c>
      <c r="AE55" s="20">
        <v>3.4082358279072106E-2</v>
      </c>
      <c r="AF55" s="20">
        <v>1.1281938545669706E-3</v>
      </c>
      <c r="AG55" s="20">
        <v>9.9157137368598505E-2</v>
      </c>
      <c r="AH55" s="20">
        <v>5.5141153712963166E-3</v>
      </c>
      <c r="AI55" s="20">
        <v>4.7509764753930275E-2</v>
      </c>
      <c r="AJ55" s="20">
        <v>4.9537195544307729E-4</v>
      </c>
      <c r="AK55" s="20">
        <v>7.8794960195820813E-4</v>
      </c>
      <c r="AL55" s="20">
        <v>1.2653984906735056E-4</v>
      </c>
      <c r="AM55" s="20">
        <v>0.10094548771911072</v>
      </c>
      <c r="AN55" s="20">
        <v>8.3403078072691161E-3</v>
      </c>
      <c r="AO55" s="20">
        <v>0.11935358715717678</v>
      </c>
      <c r="AP55" s="20">
        <v>7.4655596900211488E-3</v>
      </c>
      <c r="AQ55" s="20">
        <v>4.6716676318791263E-3</v>
      </c>
      <c r="AR55" s="20">
        <v>1.2876964797361424E-3</v>
      </c>
      <c r="AS55" s="20">
        <v>1.9935287851523282E-2</v>
      </c>
      <c r="AT55" s="20">
        <v>9.5596092980578993E-7</v>
      </c>
      <c r="AU55" s="20">
        <v>3.2284316719116975E-2</v>
      </c>
      <c r="AV55" s="20">
        <v>6.8191880741654329E-5</v>
      </c>
      <c r="AW55" s="20">
        <v>1.6573435846553387E-2</v>
      </c>
      <c r="AX55" s="20">
        <v>1.1769317592064399E-4</v>
      </c>
      <c r="AY55" s="20">
        <v>4.3346189593709188E-3</v>
      </c>
      <c r="AZ55" s="20">
        <v>1.1144892878260101E-5</v>
      </c>
      <c r="BA55" s="20">
        <v>1.3252413896053144E-3</v>
      </c>
      <c r="BB55" s="20">
        <v>4.8945946331404185E-8</v>
      </c>
      <c r="BC55" s="20">
        <v>8.9473946366429011E-2</v>
      </c>
      <c r="BD55" s="20">
        <v>1.6201224243747977E-4</v>
      </c>
      <c r="BE55" s="20">
        <v>0.26677369835766623</v>
      </c>
      <c r="BF55" s="20">
        <v>9.6290372001771026E-4</v>
      </c>
      <c r="BG55" s="20">
        <v>9.7513102623811651E-7</v>
      </c>
      <c r="BH55" s="67">
        <v>4.0919890521697536E-9</v>
      </c>
      <c r="BI55" s="20">
        <v>4.7978793485186511E-3</v>
      </c>
      <c r="BJ55" s="20">
        <v>3.75267002386242E-6</v>
      </c>
      <c r="BK55" s="20">
        <v>4.7108453392607226E-2</v>
      </c>
      <c r="BL55" s="20">
        <v>8.9409693619349007E-5</v>
      </c>
      <c r="BM55" s="20">
        <v>1.1146418533725147E-2</v>
      </c>
      <c r="BN55" s="20">
        <v>9.8521716186799441E-5</v>
      </c>
      <c r="BO55" s="20">
        <v>1.9592955790201229E-3</v>
      </c>
      <c r="BP55" s="20">
        <v>1.5873090022817683E-5</v>
      </c>
      <c r="BQ55" s="20">
        <v>5.9192498320127329E-4</v>
      </c>
      <c r="BR55" s="20">
        <v>6.2300966968599624E-7</v>
      </c>
      <c r="BS55" s="20" t="s">
        <v>134</v>
      </c>
      <c r="BT55" s="20" t="s">
        <v>135</v>
      </c>
      <c r="BU55" s="20">
        <v>0.14666255600408948</v>
      </c>
      <c r="BV55" s="20">
        <v>1.000787282737995E-4</v>
      </c>
      <c r="BW55" s="60"/>
      <c r="BX55" s="60"/>
    </row>
    <row r="56" spans="1:358" s="14" customFormat="1">
      <c r="A56" s="14" t="s">
        <v>133</v>
      </c>
      <c r="B56" s="3" t="s">
        <v>105</v>
      </c>
      <c r="C56" s="4" t="s">
        <v>10</v>
      </c>
      <c r="D56" s="4">
        <v>37.5</v>
      </c>
      <c r="F56" s="18">
        <v>0.35868825690570139</v>
      </c>
      <c r="G56" s="18"/>
      <c r="H56" s="18"/>
      <c r="I56" s="18"/>
      <c r="J56" s="4"/>
      <c r="K56" s="4"/>
      <c r="L56" s="4"/>
      <c r="M56" s="4"/>
      <c r="N56" s="4"/>
      <c r="O56" s="4"/>
      <c r="P56" s="4"/>
      <c r="Q56" s="16">
        <v>1.5769000000000002</v>
      </c>
      <c r="R56" s="16">
        <v>0.13877319625921966</v>
      </c>
      <c r="S56" s="16">
        <v>0.67910000000000004</v>
      </c>
      <c r="T56" s="16">
        <v>0.13859292911256293</v>
      </c>
      <c r="U56" s="4"/>
      <c r="V56" s="4"/>
      <c r="W56" s="4"/>
      <c r="X56" s="4"/>
      <c r="Y56" s="4"/>
      <c r="Z56" s="4"/>
      <c r="AA56" s="15">
        <v>7.9596519798007165E-2</v>
      </c>
      <c r="AB56" s="15">
        <v>2.3695801542310857E-4</v>
      </c>
      <c r="AC56" s="15">
        <v>1.404624804841471E-3</v>
      </c>
      <c r="AD56" s="15">
        <v>1.153005068746547E-4</v>
      </c>
      <c r="AE56" s="20">
        <v>0.11850020915935436</v>
      </c>
      <c r="AF56" s="20">
        <v>2.3533146250605584E-3</v>
      </c>
      <c r="AG56" s="20">
        <v>6.1458549447044791E-2</v>
      </c>
      <c r="AH56" s="20">
        <v>1.2369000715309489E-3</v>
      </c>
      <c r="AI56" s="20">
        <v>4.2526596411667075E-2</v>
      </c>
      <c r="AJ56" s="20">
        <v>1.6368555639544617E-3</v>
      </c>
      <c r="AK56" s="20">
        <v>1.0727356530580759E-3</v>
      </c>
      <c r="AL56" s="20">
        <v>1.8378982998596871E-5</v>
      </c>
      <c r="AM56" s="20">
        <v>0.71286457946452209</v>
      </c>
      <c r="AN56" s="20">
        <v>1.1342246816427549E-2</v>
      </c>
      <c r="AO56" s="20">
        <v>7.9442323572605056E-2</v>
      </c>
      <c r="AP56" s="20">
        <v>2.5720104720921505E-3</v>
      </c>
      <c r="AQ56" s="20">
        <v>9.972436264371505E-3</v>
      </c>
      <c r="AR56" s="20">
        <v>6.9108019228830936E-4</v>
      </c>
      <c r="AS56" s="20">
        <v>1.8936894159436439E-2</v>
      </c>
      <c r="AT56" s="20">
        <v>1.5892706479425642E-4</v>
      </c>
      <c r="AU56" s="20">
        <v>2.8180454215303657E-2</v>
      </c>
      <c r="AV56" s="20">
        <v>8.1841313375581159E-5</v>
      </c>
      <c r="AW56" s="20">
        <v>2.3397184164620607E-2</v>
      </c>
      <c r="AX56" s="20">
        <v>7.8328626490062599E-6</v>
      </c>
      <c r="AY56" s="20">
        <v>5.2277865243476563E-3</v>
      </c>
      <c r="AZ56" s="20">
        <v>4.4209410953647864E-5</v>
      </c>
      <c r="BA56" s="20">
        <v>1.2488071688279479E-3</v>
      </c>
      <c r="BB56" s="20">
        <v>5.3166231299222838E-7</v>
      </c>
      <c r="BC56" s="20">
        <v>0.25999150636385793</v>
      </c>
      <c r="BD56" s="20">
        <v>1.148855549637502E-4</v>
      </c>
      <c r="BE56" s="20">
        <v>0.27828729062662322</v>
      </c>
      <c r="BF56" s="20">
        <v>2.4167910097041458E-4</v>
      </c>
      <c r="BG56" s="20">
        <v>9.7323177492518118E-7</v>
      </c>
      <c r="BH56" s="67">
        <v>7.5910510881928915E-9</v>
      </c>
      <c r="BI56" s="20">
        <v>7.6222021598827253E-2</v>
      </c>
      <c r="BJ56" s="20">
        <v>3.5390442884782996E-4</v>
      </c>
      <c r="BK56" s="20">
        <v>2.9215507488841868E-2</v>
      </c>
      <c r="BL56" s="20">
        <v>5.155771356187494E-5</v>
      </c>
      <c r="BM56" s="20">
        <v>1.5933720884990833E-2</v>
      </c>
      <c r="BN56" s="20">
        <v>4.4081993409050543E-5</v>
      </c>
      <c r="BO56" s="20" t="s">
        <v>134</v>
      </c>
      <c r="BP56" s="20" t="s">
        <v>135</v>
      </c>
      <c r="BQ56" s="20">
        <v>4.491546503079157E-4</v>
      </c>
      <c r="BR56" s="20">
        <v>1.316405159557646E-6</v>
      </c>
      <c r="BS56" s="20">
        <v>2.2603684570747821E-3</v>
      </c>
      <c r="BT56" s="20">
        <v>4.723916158611569E-5</v>
      </c>
      <c r="BU56" s="20">
        <v>9.4278435876376951E-2</v>
      </c>
      <c r="BV56" s="20">
        <v>1.2959607018878797E-4</v>
      </c>
      <c r="BW56" s="60"/>
      <c r="BX56" s="60"/>
    </row>
    <row r="57" spans="1:358" s="14" customFormat="1">
      <c r="A57" s="14" t="s">
        <v>133</v>
      </c>
      <c r="B57" s="3" t="s">
        <v>106</v>
      </c>
      <c r="C57" s="4" t="s">
        <v>23</v>
      </c>
      <c r="D57" s="4">
        <v>52.5</v>
      </c>
      <c r="F57" s="18">
        <v>0.40106181319642159</v>
      </c>
      <c r="G57" s="18"/>
      <c r="H57" s="18"/>
      <c r="I57" s="18"/>
      <c r="J57" s="4"/>
      <c r="K57" s="4"/>
      <c r="L57" s="4"/>
      <c r="M57" s="4"/>
      <c r="N57" s="4"/>
      <c r="O57" s="4"/>
      <c r="P57" s="4"/>
      <c r="Q57" s="16">
        <v>1.5560499999999999</v>
      </c>
      <c r="R57" s="16">
        <v>0.17779230860754386</v>
      </c>
      <c r="S57" s="16">
        <v>0.93144999999999989</v>
      </c>
      <c r="T57" s="16">
        <v>0.17755451275594242</v>
      </c>
      <c r="U57" s="4"/>
      <c r="V57" s="4"/>
      <c r="W57" s="4"/>
      <c r="X57" s="4"/>
      <c r="Y57" s="4"/>
      <c r="Z57" s="4"/>
      <c r="AA57" s="15">
        <v>8.8674605805858869E-2</v>
      </c>
      <c r="AB57" s="15">
        <v>2.8932383098365802E-3</v>
      </c>
      <c r="AC57" s="15">
        <v>1.2139746859301287E-3</v>
      </c>
      <c r="AD57" s="15">
        <v>1.2756518063815773E-4</v>
      </c>
      <c r="AE57" s="20">
        <v>0.11344362894039275</v>
      </c>
      <c r="AF57" s="20">
        <v>2.9762162149834237E-3</v>
      </c>
      <c r="AG57" s="20">
        <v>5.9190543852968909E-2</v>
      </c>
      <c r="AH57" s="20">
        <v>5.7702093774824898E-4</v>
      </c>
      <c r="AI57" s="20">
        <v>3.912807434307336E-2</v>
      </c>
      <c r="AJ57" s="20">
        <v>5.6716554166481099E-4</v>
      </c>
      <c r="AK57" s="20">
        <v>1.0086734213239591E-3</v>
      </c>
      <c r="AL57" s="20">
        <v>4.7465482473483131E-6</v>
      </c>
      <c r="AM57" s="20">
        <v>0.83072564271672966</v>
      </c>
      <c r="AN57" s="20">
        <v>2.1314366789170161E-2</v>
      </c>
      <c r="AO57" s="20">
        <v>7.886275122409328E-2</v>
      </c>
      <c r="AP57" s="20">
        <v>2.4396069344765156E-4</v>
      </c>
      <c r="AQ57" s="20">
        <v>1.1219356933715632E-2</v>
      </c>
      <c r="AR57" s="20">
        <v>1.2469111127284553E-4</v>
      </c>
      <c r="AS57" s="20">
        <v>1.8827103854088294E-2</v>
      </c>
      <c r="AT57" s="20">
        <v>9.921334408976051E-5</v>
      </c>
      <c r="AU57" s="20">
        <v>2.8471880597065014E-2</v>
      </c>
      <c r="AV57" s="20">
        <v>2.6585355581095523E-4</v>
      </c>
      <c r="AW57" s="20">
        <v>2.1627648139333593E-2</v>
      </c>
      <c r="AX57" s="20">
        <v>7.029260727908662E-5</v>
      </c>
      <c r="AY57" s="20">
        <v>6.0834834640901845E-3</v>
      </c>
      <c r="AZ57" s="20">
        <v>9.8157175178477985E-6</v>
      </c>
      <c r="BA57" s="20">
        <v>1.2001470108632679E-3</v>
      </c>
      <c r="BB57" s="20">
        <v>3.3185902364418565E-6</v>
      </c>
      <c r="BC57" s="20">
        <v>0.30861192457051051</v>
      </c>
      <c r="BD57" s="20">
        <v>1.0244370400157728E-3</v>
      </c>
      <c r="BE57" s="20">
        <v>0.25728568405437158</v>
      </c>
      <c r="BF57" s="20">
        <v>1.3908611817921154E-3</v>
      </c>
      <c r="BG57" s="20">
        <v>1.0600388459569658E-6</v>
      </c>
      <c r="BH57" s="67">
        <v>3.8358971351985144E-9</v>
      </c>
      <c r="BI57" s="20">
        <v>7.1338602752364644E-2</v>
      </c>
      <c r="BJ57" s="20">
        <v>3.8238994310431005E-4</v>
      </c>
      <c r="BK57" s="20">
        <v>2.9751414485169474E-2</v>
      </c>
      <c r="BL57" s="20">
        <v>2.217601358428634E-5</v>
      </c>
      <c r="BM57" s="20">
        <v>1.5072357901991674E-2</v>
      </c>
      <c r="BN57" s="20">
        <v>9.0090163577451267E-5</v>
      </c>
      <c r="BO57" s="20" t="s">
        <v>134</v>
      </c>
      <c r="BP57" s="20" t="s">
        <v>135</v>
      </c>
      <c r="BQ57" s="20">
        <v>3.5176604771100647E-4</v>
      </c>
      <c r="BR57" s="20">
        <v>1.0459491848167903E-7</v>
      </c>
      <c r="BS57" s="20" t="s">
        <v>134</v>
      </c>
      <c r="BT57" s="20" t="s">
        <v>135</v>
      </c>
      <c r="BU57" s="20">
        <v>7.7017988577486068E-2</v>
      </c>
      <c r="BV57" s="20">
        <v>2.6006937584108843E-5</v>
      </c>
      <c r="BW57" s="60"/>
      <c r="BX57" s="60"/>
    </row>
    <row r="58" spans="1:358" s="7" customFormat="1">
      <c r="B58" s="6" t="s">
        <v>117</v>
      </c>
      <c r="E58" s="8">
        <f>AVERAGE(E4:E57)</f>
        <v>0.65361500063808708</v>
      </c>
      <c r="F58" s="8">
        <f>AVERAGE(F53:F57)</f>
        <v>0.37499758458215415</v>
      </c>
      <c r="G58" s="8"/>
      <c r="H58" s="8"/>
      <c r="I58" s="8"/>
      <c r="J58" s="8">
        <f>AVERAGE(J5:J57)</f>
        <v>1.7347491295726338</v>
      </c>
      <c r="K58" s="8"/>
      <c r="L58" s="8">
        <f>AVERAGE(L5:L57)</f>
        <v>0.16970271134413478</v>
      </c>
      <c r="M58" s="8"/>
      <c r="N58" s="8">
        <f>AVERAGE(N5:N57)</f>
        <v>-25.807732079444449</v>
      </c>
      <c r="O58" s="8"/>
      <c r="P58" s="8">
        <f>AVERAGE(P4:P57)</f>
        <v>9.8171101197653048</v>
      </c>
      <c r="Q58" s="8">
        <f t="shared" ref="Q58:T58" si="0">AVERAGE(Q4:Q57)</f>
        <v>2.3084529591836733</v>
      </c>
      <c r="R58" s="8">
        <f t="shared" si="0"/>
        <v>4.5035403485576955E-2</v>
      </c>
      <c r="S58" s="8">
        <f t="shared" si="0"/>
        <v>0.37998285714285718</v>
      </c>
      <c r="T58" s="8">
        <f t="shared" si="0"/>
        <v>2.7015808266517071E-2</v>
      </c>
      <c r="U58" s="8">
        <f t="shared" ref="U58" si="1">AVERAGE(U4:U57)</f>
        <v>0.47568173389348611</v>
      </c>
      <c r="W58" s="8">
        <f>AVERAGE(W4:W57)</f>
        <v>-528.15785437576858</v>
      </c>
      <c r="Y58" s="8">
        <f>AVERAGE(Y4:Y57)</f>
        <v>7070.7142857142853</v>
      </c>
      <c r="AA58" s="9">
        <f t="shared" ref="AA58" si="2">AVERAGE(AA4:AA57)</f>
        <v>6.0708987426923273E-2</v>
      </c>
      <c r="AB58" s="9"/>
      <c r="AC58" s="9">
        <f>AVERAGE(AC4:AC57)</f>
        <v>6.0531697827020552E-2</v>
      </c>
      <c r="AE58" s="10">
        <f>AVERAGE(AE4:AE57)</f>
        <v>6.6339548103336143E-2</v>
      </c>
      <c r="AF58" s="10"/>
      <c r="AG58" s="10">
        <f>AVERAGE(AG4:AG57)</f>
        <v>5.7715617146375693E-2</v>
      </c>
      <c r="AH58" s="10"/>
      <c r="AI58" s="10">
        <f>AVERAGE(AI4:AI57)</f>
        <v>3.6589788846274382E-2</v>
      </c>
      <c r="AK58" s="10">
        <f>AVERAGE(AK4:AK57)</f>
        <v>4.1000754632589138E-3</v>
      </c>
      <c r="AL58" s="10"/>
      <c r="AM58" s="10">
        <f>AVERAGE(AM4:AM57)</f>
        <v>0.34932293772531997</v>
      </c>
      <c r="AN58" s="10"/>
      <c r="AO58" s="10">
        <f>AVERAGE(AO4:AO57)</f>
        <v>8.1369411746984033E-2</v>
      </c>
      <c r="AQ58" s="10">
        <f>AVERAGE(AQ4:AQ57)</f>
        <v>1.0754977939141288E-2</v>
      </c>
      <c r="AR58" s="12"/>
      <c r="AS58" s="10">
        <f>AVERAGE(AS4:AS57)</f>
        <v>1.4056792488846856E-2</v>
      </c>
      <c r="AU58" s="10">
        <f>AVERAGE(AU4:AU57)</f>
        <v>2.8026877232093433E-2</v>
      </c>
      <c r="AW58" s="10">
        <f>AVERAGE(AW4:AW57)</f>
        <v>2.356236028967278E-2</v>
      </c>
      <c r="AY58" s="10">
        <f>AVERAGE(AY4:AY57)</f>
        <v>9.4000691175096657E-3</v>
      </c>
      <c r="BA58" s="10">
        <f>AVERAGE(BA4:BA57)</f>
        <v>4.8516990806302656E-3</v>
      </c>
      <c r="BC58" s="10">
        <f>AVERAGE(BC4:BC57)</f>
        <v>0.19191351700942688</v>
      </c>
      <c r="BE58" s="10">
        <f>AVERAGE(BE4:BE57)</f>
        <v>0.20944583454240448</v>
      </c>
      <c r="BF58" s="66"/>
      <c r="BG58" s="10">
        <f>AVERAGE(BG4:BG57)</f>
        <v>1.7366423886211234E-6</v>
      </c>
      <c r="BH58" s="12"/>
      <c r="BI58" s="10">
        <f>AVERAGE(BI4:BI57)</f>
        <v>4.3120999814532684E-2</v>
      </c>
      <c r="BK58" s="10">
        <f>AVERAGE(BK4:BK57)</f>
        <v>4.3987521377654819E-2</v>
      </c>
      <c r="BM58" s="10">
        <f>AVERAGE(BM4:BM57)</f>
        <v>1.6641110778547592E-2</v>
      </c>
      <c r="BO58" s="10">
        <f>AVERAGE(BO4:BO57)</f>
        <v>1.9592955790201229E-3</v>
      </c>
      <c r="BQ58" s="10">
        <f>AVERAGE(BQ4:BQ57)</f>
        <v>3.2092053414023852E-3</v>
      </c>
      <c r="BR58" s="10"/>
      <c r="BS58" s="10">
        <f>AVERAGE(BS4:BS57)</f>
        <v>5.4563956155559952E-3</v>
      </c>
      <c r="BU58" s="10">
        <f>AVERAGE(BU4:BU57)</f>
        <v>0.10155770000500226</v>
      </c>
      <c r="BY58" s="9">
        <f>AVERAGE(BY4:BY57)</f>
        <v>6.3807056157381033E-3</v>
      </c>
      <c r="BZ58" s="9">
        <f>AVERAGE(BZ4:BZ57)</f>
        <v>0.17801773942276991</v>
      </c>
      <c r="CA58" s="9">
        <f>AVERAGE(CA4:CA57)</f>
        <v>9.4468255559367276E-2</v>
      </c>
      <c r="CB58" s="9">
        <f>AVERAGE(CB4:CB57)</f>
        <v>2.3740085718999163E-2</v>
      </c>
      <c r="CC58" s="9">
        <f>AVERAGE(CC4:CC57)</f>
        <v>5.9663907757131852E-2</v>
      </c>
      <c r="CD58" s="9"/>
      <c r="CE58" s="9"/>
      <c r="CF58" s="63">
        <f>AVERAGE(CF4:CF57)</f>
        <v>-129.98182545015027</v>
      </c>
      <c r="CG58" s="9"/>
      <c r="CH58" s="63">
        <f>AVERAGE(CH4:CH57)</f>
        <v>-71.006261377027542</v>
      </c>
      <c r="CI58" s="9"/>
      <c r="CJ58" s="63">
        <f>AVERAGE(CJ4:CJ57)</f>
        <v>-364.79639868211808</v>
      </c>
      <c r="CK58" s="9"/>
      <c r="CL58" s="62">
        <f>AVERAGE(CL4:CL57)</f>
        <v>0.87720400000000009</v>
      </c>
      <c r="CM58" s="62"/>
      <c r="CN58" s="62">
        <f>AVERAGE(CN4:CN57)</f>
        <v>0.93666666666666665</v>
      </c>
      <c r="CO58" s="9"/>
      <c r="CP58" s="62">
        <f>AVERAGE(CP4:CP57)</f>
        <v>0.64045000000000007</v>
      </c>
      <c r="CQ58" s="9"/>
      <c r="CR58" s="64">
        <f>AVERAGE(CR4:CR57)</f>
        <v>1416.25</v>
      </c>
      <c r="CS58" s="9"/>
      <c r="CT58" s="64">
        <f>AVERAGE(CT4:CT57)</f>
        <v>657</v>
      </c>
      <c r="CU58" s="9"/>
      <c r="CV58" s="64">
        <f>AVERAGE(CV4:CV57)</f>
        <v>3759.1666666666665</v>
      </c>
      <c r="CW58" s="9"/>
      <c r="KS58" s="9">
        <f>AVERAGE(KS4:KS57)</f>
        <v>33.179253438530658</v>
      </c>
      <c r="KU58" s="9">
        <f>AVERAGE(KU4:KU57)</f>
        <v>35.202336472431647</v>
      </c>
      <c r="KW58" s="9">
        <f>AVERAGE(KW4:KW57)</f>
        <v>1.0567223644538875</v>
      </c>
      <c r="KY58" s="9">
        <f>AVERAGE(KY4:KY57)</f>
        <v>0.9934967773803296</v>
      </c>
      <c r="LA58" s="9">
        <f>AVERAGE(LA4:LA57)</f>
        <v>1.3872251022905846</v>
      </c>
      <c r="LC58" s="9">
        <f>AVERAGE(LC4:LC57)</f>
        <v>0.13954395873275705</v>
      </c>
      <c r="LE58" s="9">
        <f>AVERAGE(LE4:LE57)</f>
        <v>33.530814283487253</v>
      </c>
      <c r="LG58" s="9">
        <f>AVERAGE(LG4:LG57)</f>
        <v>25.963499314988674</v>
      </c>
      <c r="LI58" s="9">
        <f>AVERAGE(LI4:LI57)</f>
        <v>7.2955986221863434</v>
      </c>
      <c r="LK58" s="9">
        <f>AVERAGE(LK4:LK57)</f>
        <v>-26.37065106</v>
      </c>
      <c r="LM58" s="9">
        <f>AVERAGE(LM4:LM57)</f>
        <v>-25.601137546111108</v>
      </c>
      <c r="LO58" s="9">
        <f>AVERAGE(LO4:LO57)</f>
        <v>-25.575529014999997</v>
      </c>
      <c r="LQ58" s="9">
        <f>AVERAGE(LQ4:LQ57)</f>
        <v>40.421035396392867</v>
      </c>
      <c r="LS58" s="9">
        <f>AVERAGE(LS4:LS57)</f>
        <v>-122.91915881733792</v>
      </c>
      <c r="LU58" s="9">
        <f>AVERAGE(LU4:LU57)</f>
        <v>-509.74917615515807</v>
      </c>
      <c r="LW58" s="9">
        <f>AVERAGE(LW4:LW57)</f>
        <v>1.0490142857142859</v>
      </c>
    </row>
    <row r="59" spans="1:358" s="7" customFormat="1">
      <c r="B59" s="6" t="s">
        <v>118</v>
      </c>
      <c r="E59" s="8">
        <f>STDEV(E5:E57)</f>
        <v>0.36173211914577097</v>
      </c>
      <c r="F59" s="8">
        <f>STDEV(F53:F57)</f>
        <v>6.2052286924635228E-2</v>
      </c>
      <c r="G59" s="8"/>
      <c r="H59" s="8"/>
      <c r="I59" s="8"/>
      <c r="J59" s="8">
        <f>STDEV(J7:J57)</f>
        <v>1.0346866653738849</v>
      </c>
      <c r="K59" s="8"/>
      <c r="L59" s="8">
        <f>STDEV(L7:L57)</f>
        <v>9.0509134631761357E-2</v>
      </c>
      <c r="M59" s="8"/>
      <c r="N59" s="8">
        <f>STDEV(N7:N57)</f>
        <v>0.3561736209613004</v>
      </c>
      <c r="O59" s="8"/>
      <c r="P59" s="8">
        <f t="shared" ref="P59:U59" si="3">STDEV(P5:P57)</f>
        <v>1.6502825531316414</v>
      </c>
      <c r="Q59" s="8">
        <f t="shared" ref="Q59:T59" si="4">STDEV(Q5:Q57)</f>
        <v>1.4487643172832294</v>
      </c>
      <c r="R59" s="8">
        <f t="shared" si="4"/>
        <v>4.6643479719821385E-2</v>
      </c>
      <c r="S59" s="8">
        <f t="shared" si="4"/>
        <v>0.41243703280897254</v>
      </c>
      <c r="T59" s="8">
        <f t="shared" si="4"/>
        <v>4.0532488307800554E-2</v>
      </c>
      <c r="U59" s="8">
        <f t="shared" si="3"/>
        <v>0.22017502896810956</v>
      </c>
      <c r="W59" s="8">
        <f>STDEV(W5:W57)</f>
        <v>218.39782921841717</v>
      </c>
      <c r="Y59" s="8">
        <f>STDEV(Y5:Y57)</f>
        <v>4719.5019031975944</v>
      </c>
      <c r="AA59" s="9">
        <f t="shared" ref="AA59" si="5">STDEV(AA5:AA57)</f>
        <v>5.0519990546842003E-2</v>
      </c>
      <c r="AB59" s="9"/>
      <c r="AC59" s="9">
        <f>STDEV(AC5:AC57)</f>
        <v>5.4631172797188994E-2</v>
      </c>
      <c r="AE59" s="10">
        <f>STDEV(AE5:AE57)</f>
        <v>3.8613213947323886E-2</v>
      </c>
      <c r="AF59" s="10"/>
      <c r="AG59" s="10">
        <f>STDEV(AG5:AG57)</f>
        <v>1.8260735961552487E-2</v>
      </c>
      <c r="AH59" s="10"/>
      <c r="AI59" s="10">
        <f>STDEV(AI5:AI57)</f>
        <v>8.708095194202169E-3</v>
      </c>
      <c r="AK59" s="10">
        <f>STDEV(AK5:AK57)</f>
        <v>3.1014531407215621E-3</v>
      </c>
      <c r="AL59" s="10"/>
      <c r="AM59" s="10">
        <f>STDEV(AM5:AM57)</f>
        <v>0.28164134551169062</v>
      </c>
      <c r="AN59" s="10"/>
      <c r="AO59" s="10">
        <f>STDEV(AO5:AO57)</f>
        <v>3.1212671021799587E-2</v>
      </c>
      <c r="AQ59" s="10">
        <f>STDEV(AQ5:AQ57)</f>
        <v>3.3750815332647625E-3</v>
      </c>
      <c r="AR59" s="12"/>
      <c r="AS59" s="10">
        <f>STDEV(AS5:AS57)</f>
        <v>5.8270887257919467E-3</v>
      </c>
      <c r="AU59" s="10">
        <f>STDEV(AU5:AU57)</f>
        <v>8.4044221084204947E-3</v>
      </c>
      <c r="AW59" s="10">
        <f>STDEV(AW5:AW57)</f>
        <v>8.8224281881438896E-3</v>
      </c>
      <c r="AY59" s="10">
        <f>STDEV(AY5:AY57)</f>
        <v>6.5144412677965958E-3</v>
      </c>
      <c r="BA59" s="10">
        <f>STDEV(BA5:BA57)</f>
        <v>4.8308903313653969E-3</v>
      </c>
      <c r="BC59" s="10">
        <f>STDEV(BC5:BC57)</f>
        <v>0.15528075136527428</v>
      </c>
      <c r="BE59" s="10">
        <f>STDEV(BE5:BE57)</f>
        <v>6.5347920096260642E-2</v>
      </c>
      <c r="BF59" s="66"/>
      <c r="BG59" s="10">
        <f>STDEV(BG5:BG57)</f>
        <v>7.2448559581085517E-7</v>
      </c>
      <c r="BH59" s="12"/>
      <c r="BI59" s="10">
        <f>STDEV(BI5:BI57)</f>
        <v>5.7857101031868675E-2</v>
      </c>
      <c r="BK59" s="10">
        <f>STDEV(BK5:BK57)</f>
        <v>4.1631343975431549E-2</v>
      </c>
      <c r="BM59" s="10">
        <f>STDEV(BM5:BM57)</f>
        <v>1.7465555298632602E-2</v>
      </c>
      <c r="BO59" s="10" t="e">
        <f>STDEV(BO5:BO57)</f>
        <v>#DIV/0!</v>
      </c>
      <c r="BQ59" s="10">
        <f>STDEV(BQ5:BQ57)</f>
        <v>3.8860189504843286E-3</v>
      </c>
      <c r="BR59" s="10"/>
      <c r="BS59" s="10">
        <f>STDEV(BS5:BS57)</f>
        <v>8.4362408566295392E-3</v>
      </c>
      <c r="BU59" s="10">
        <f>STDEV(BU5:BU57)</f>
        <v>7.0325591594038242E-2</v>
      </c>
      <c r="BY59" s="9">
        <f>STDEV(BY5:BY57)</f>
        <v>5.722151058115966E-3</v>
      </c>
      <c r="BZ59" s="9">
        <f>STDEV(BZ5:BZ57)</f>
        <v>0.11447908652485272</v>
      </c>
      <c r="CA59" s="9">
        <f>STDEV(CA5:CA57)</f>
        <v>5.8998263388468079E-2</v>
      </c>
      <c r="CB59" s="9">
        <f>STDEV(CB5:CB57)</f>
        <v>1.259671326199573E-2</v>
      </c>
      <c r="CC59" s="9">
        <f>STDEV(CC5:CC57)</f>
        <v>3.9062280455301059E-2</v>
      </c>
      <c r="CD59" s="9"/>
      <c r="CE59" s="9"/>
      <c r="CF59" s="63">
        <f>STDEV(CF4:CF57)</f>
        <v>128.57306729887969</v>
      </c>
      <c r="CG59" s="9"/>
      <c r="CH59" s="63">
        <f>STDEV(CH4:CH57)</f>
        <v>51.632309927793692</v>
      </c>
      <c r="CI59" s="9"/>
      <c r="CJ59" s="63">
        <f>STDEV(CJ4:CJ57)</f>
        <v>148.2215786857987</v>
      </c>
      <c r="CK59" s="9"/>
      <c r="CL59" s="62">
        <f>STDEV(CL4:CL57)</f>
        <v>0.1296350032977201</v>
      </c>
      <c r="CM59" s="62"/>
      <c r="CN59" s="62">
        <f>STDEV(CN4:CN57)</f>
        <v>5.2058761670507138E-2</v>
      </c>
      <c r="CO59" s="9"/>
      <c r="CP59" s="62">
        <f>STDEV(CP4:CP57)</f>
        <v>0.14944579953949835</v>
      </c>
      <c r="CQ59" s="9"/>
      <c r="CR59" s="64">
        <f>STDEV(CR4:CR57)</f>
        <v>1297.6541334269314</v>
      </c>
      <c r="CS59" s="9"/>
      <c r="CT59" s="64">
        <f>STDEV(CT4:CT57)</f>
        <v>377.84917625952289</v>
      </c>
      <c r="CU59" s="9"/>
      <c r="CV59" s="64">
        <f>STDEV(CV4:CV57)</f>
        <v>1855.2100060819707</v>
      </c>
      <c r="CW59" s="9"/>
      <c r="KS59" s="9">
        <f>STDEV(KS5:KS57)</f>
        <v>3.3058677454210943</v>
      </c>
      <c r="KU59" s="9">
        <f>STDEV(KU5:KU57)</f>
        <v>3.5897892058223517</v>
      </c>
      <c r="KW59" s="9">
        <f>STDEV(KW5:KW57)</f>
        <v>0.57981123389908262</v>
      </c>
      <c r="KY59" s="9">
        <f>STDEV(KY5:KY57)</f>
        <v>8.8300486961296706E-2</v>
      </c>
      <c r="LA59" s="9">
        <f>STDEV(LA5:LA57)</f>
        <v>0.2288718968697977</v>
      </c>
      <c r="LC59" s="9">
        <f>STDEV(LC5:LC57)</f>
        <v>5.7847241470166753E-2</v>
      </c>
      <c r="LE59" s="9">
        <f>STDEV(LE5:LE57)</f>
        <v>3.5483283130572709</v>
      </c>
      <c r="LG59" s="9">
        <f>STDEV(LG5:LG57)</f>
        <v>5.0668597601369996</v>
      </c>
      <c r="LI59" s="9">
        <f>STDEV(LI5:LI57)</f>
        <v>0.82472089657469028</v>
      </c>
      <c r="LK59" s="9">
        <f>STDEV(LK5:LK57)</f>
        <v>0.49686186626764201</v>
      </c>
      <c r="LM59" s="9">
        <f>STDEV(LM5:LM57)</f>
        <v>0.47696009428515179</v>
      </c>
      <c r="LO59" s="9">
        <f>STDEV(LO5:LO57)</f>
        <v>0.34718990957959445</v>
      </c>
      <c r="LQ59" s="9">
        <f>STDEV(LQ5:LQ57)</f>
        <v>80.204597998286204</v>
      </c>
      <c r="LS59" s="9">
        <f>STDEV(LS5:LS57)</f>
        <v>118.25613009358034</v>
      </c>
      <c r="LU59" s="9">
        <f>STDEV(LU5:LU57)</f>
        <v>237.28572863387743</v>
      </c>
      <c r="LW59" s="9">
        <f>STDEV(LW5:LW57)</f>
        <v>8.0867039609708147E-2</v>
      </c>
    </row>
    <row r="60" spans="1:358" s="7" customFormat="1">
      <c r="B60" s="6" t="s">
        <v>119</v>
      </c>
      <c r="E60" s="8">
        <f>MIN(E4:E57)</f>
        <v>4.9561711728372232E-2</v>
      </c>
      <c r="F60" s="8">
        <f>MIN(F53:F57)</f>
        <v>0.29229862089297992</v>
      </c>
      <c r="G60" s="8"/>
      <c r="H60" s="8"/>
      <c r="I60" s="8"/>
      <c r="J60" s="8">
        <f>MIN(J5:J57)</f>
        <v>0.60049203711333488</v>
      </c>
      <c r="K60" s="8"/>
      <c r="L60" s="8">
        <f>MIN(L5:L57)</f>
        <v>7.5873233067392631E-2</v>
      </c>
      <c r="M60" s="8"/>
      <c r="N60" s="8">
        <f>MIN(N5:N57)</f>
        <v>-26.503584979999999</v>
      </c>
      <c r="O60" s="8"/>
      <c r="P60" s="8">
        <f t="shared" ref="P60:U60" si="6">MIN(P4:P57)</f>
        <v>7.2845999424218073</v>
      </c>
      <c r="Q60" s="8">
        <f t="shared" ref="Q60:T60" si="7">MIN(Q4:Q57)</f>
        <v>0.69953999999999994</v>
      </c>
      <c r="R60" s="8">
        <f t="shared" si="7"/>
        <v>2E-3</v>
      </c>
      <c r="S60" s="8">
        <f t="shared" si="7"/>
        <v>-9.8999999999999999E-4</v>
      </c>
      <c r="T60" s="8">
        <f t="shared" si="7"/>
        <v>7.0710678118651867E-6</v>
      </c>
      <c r="U60" s="8">
        <f t="shared" si="6"/>
        <v>9.148966093593093E-2</v>
      </c>
      <c r="W60" s="8">
        <f>MIN(W4:W57)</f>
        <v>-909.24882154901218</v>
      </c>
      <c r="Y60" s="8">
        <f>MIN(Y4:Y57)</f>
        <v>1155</v>
      </c>
      <c r="AA60" s="9">
        <f t="shared" ref="AA60" si="8">MIN(AA4:AA57)</f>
        <v>1.8190301797814902E-3</v>
      </c>
      <c r="AB60" s="9"/>
      <c r="AC60" s="9">
        <f>MIN(AC4:AC57)</f>
        <v>1.1393758260747678E-3</v>
      </c>
      <c r="AE60" s="10">
        <f>MIN(AE4:AE57)</f>
        <v>1.6863775406118171E-2</v>
      </c>
      <c r="AF60" s="10"/>
      <c r="AG60" s="10">
        <f>MIN(AG4:AG57)</f>
        <v>2.0742924543510427E-2</v>
      </c>
      <c r="AH60" s="10"/>
      <c r="AI60" s="10">
        <f>MIN(AI4:AI57)</f>
        <v>1.387870003091308E-2</v>
      </c>
      <c r="AK60" s="10">
        <f>MIN(AK4:AK57)</f>
        <v>4.712523570146221E-4</v>
      </c>
      <c r="AL60" s="10"/>
      <c r="AM60" s="10">
        <f>MIN(AM4:AM57)</f>
        <v>6.9019751288783793E-2</v>
      </c>
      <c r="AN60" s="10"/>
      <c r="AO60" s="10">
        <f>MIN(AO4:AO57)</f>
        <v>3.699331641011739E-2</v>
      </c>
      <c r="AQ60" s="10">
        <f>MIN(AQ4:AQ57)</f>
        <v>3.4402506831407668E-3</v>
      </c>
      <c r="AR60" s="12"/>
      <c r="AS60" s="10">
        <f>MIN(AS4:AS57)</f>
        <v>6.0258886212491607E-3</v>
      </c>
      <c r="AU60" s="10">
        <f>MIN(AU4:AU57)</f>
        <v>1.1474319171730193E-2</v>
      </c>
      <c r="AW60" s="10">
        <f>MIN(AW4:AW57)</f>
        <v>6.7647761609429206E-3</v>
      </c>
      <c r="AY60" s="10">
        <f>MIN(AY4:AY57)</f>
        <v>2.0575495526507365E-3</v>
      </c>
      <c r="BA60" s="10">
        <f>MIN(BA4:BA57)</f>
        <v>4.3401887813543111E-4</v>
      </c>
      <c r="BC60" s="10">
        <f>MIN(BC4:BC57)</f>
        <v>3.613418186391034E-2</v>
      </c>
      <c r="BE60" s="10">
        <f>MIN(BE4:BE57)</f>
        <v>8.7748642993900006E-2</v>
      </c>
      <c r="BF60" s="66"/>
      <c r="BG60" s="10">
        <f>MIN(BG4:BG57)</f>
        <v>8.824983894407213E-7</v>
      </c>
      <c r="BH60" s="12"/>
      <c r="BI60" s="10">
        <f>MIN(BI4:BI57)</f>
        <v>3.1059434862887999E-3</v>
      </c>
      <c r="BK60" s="10">
        <f>MIN(BK4:BK57)</f>
        <v>1.269727668006721E-2</v>
      </c>
      <c r="BM60" s="10">
        <f>MIN(BM4:BM57)</f>
        <v>1.5267171790369508E-3</v>
      </c>
      <c r="BO60" s="10">
        <f>MIN(BO4:BO57)</f>
        <v>1.9592955790201229E-3</v>
      </c>
      <c r="BQ60" s="10">
        <f>MIN(BQ4:BQ57)</f>
        <v>1.9164429852719549E-4</v>
      </c>
      <c r="BR60" s="10"/>
      <c r="BS60" s="10">
        <f>MIN(BS4:BS57)</f>
        <v>4.9754735393454995E-4</v>
      </c>
      <c r="BU60" s="10">
        <f>MIN(BU4:BU57)</f>
        <v>2.1093332984763801E-2</v>
      </c>
      <c r="BY60" s="9">
        <f>MIN(BY4:BY57)</f>
        <v>2.2493589080284475E-3</v>
      </c>
      <c r="BZ60" s="9">
        <f>MIN(BZ4:BZ57)</f>
        <v>4.1572260128832125E-2</v>
      </c>
      <c r="CA60" s="9">
        <f>MIN(CA4:CA57)</f>
        <v>2.0658763560843271E-2</v>
      </c>
      <c r="CB60" s="9">
        <f>MIN(CB4:CB57)</f>
        <v>8.1992891418498238E-3</v>
      </c>
      <c r="CC60" s="9">
        <f>MIN(CC4:CC57)</f>
        <v>4.7058360515887833E-3</v>
      </c>
      <c r="CD60" s="9"/>
      <c r="CE60" s="9"/>
      <c r="CF60" s="63">
        <f>MIN(CF4:CF57)</f>
        <v>-344.81146220533554</v>
      </c>
      <c r="CG60" s="9"/>
      <c r="CH60" s="63">
        <f>MIN(CH4:CH57)</f>
        <v>-144.6645549589486</v>
      </c>
      <c r="CI60" s="9"/>
      <c r="CJ60" s="63">
        <f>MIN(CJ4:CJ57)</f>
        <v>-556.95924942041097</v>
      </c>
      <c r="CK60" s="9"/>
      <c r="CL60" s="62">
        <f>MIN(CL4:CL57)</f>
        <v>0.66060000000000008</v>
      </c>
      <c r="CM60" s="62"/>
      <c r="CN60" s="62">
        <f>MIN(CN4:CN57)</f>
        <v>0.86240000000000006</v>
      </c>
      <c r="CO60" s="9"/>
      <c r="CP60" s="62">
        <f>MIN(CP4:CP57)</f>
        <v>0.44669999999999993</v>
      </c>
      <c r="CQ60" s="9"/>
      <c r="CR60" s="64">
        <f>MIN(CR4:CR57)</f>
        <v>525</v>
      </c>
      <c r="CS60" s="9"/>
      <c r="CT60" s="64">
        <f>MIN(CT4:CT57)</f>
        <v>215</v>
      </c>
      <c r="CU60" s="9"/>
      <c r="CV60" s="64">
        <f>MIN(CV4:CV57)</f>
        <v>915</v>
      </c>
      <c r="CW60" s="9"/>
      <c r="KS60" s="9">
        <f>MIN(KS4:KS57)</f>
        <v>29.020914161834135</v>
      </c>
      <c r="KU60" s="9">
        <f>MIN(KU4:KU57)</f>
        <v>28.655096287128718</v>
      </c>
      <c r="KW60" s="9">
        <f>MIN(KW4:KW57)</f>
        <v>0.47632594230723524</v>
      </c>
      <c r="KY60" s="9">
        <f>MIN(KY4:KY57)</f>
        <v>0.84187980836671872</v>
      </c>
      <c r="LA60" s="9">
        <f>MIN(LA4:LA57)</f>
        <v>1.03267497168149</v>
      </c>
      <c r="LC60" s="9">
        <f>MIN(LC4:LC57)</f>
        <v>7.7789759522027879E-2</v>
      </c>
      <c r="LE60" s="9">
        <f>MIN(LE4:LE57)</f>
        <v>29.426463579725858</v>
      </c>
      <c r="LG60" s="9">
        <f>MIN(LG4:LG57)</f>
        <v>20.313290573017834</v>
      </c>
      <c r="LI60" s="9">
        <f>MIN(LI4:LI57)</f>
        <v>6.1232473944382502</v>
      </c>
      <c r="LK60" s="9">
        <f>MIN(LK4:LK57)</f>
        <v>-27.081192119999997</v>
      </c>
      <c r="LM60" s="9">
        <f>MIN(LM4:LM57)</f>
        <v>-26.727466364999998</v>
      </c>
      <c r="LO60" s="9">
        <f>MIN(LO4:LO57)</f>
        <v>-25.928509980000001</v>
      </c>
      <c r="LQ60" s="9">
        <f>MIN(LQ4:LQ57)</f>
        <v>-44.59110133575517</v>
      </c>
      <c r="LS60" s="9">
        <f>MIN(LS4:LS57)</f>
        <v>-348.58033360046079</v>
      </c>
      <c r="LU60" s="9">
        <f>MIN(LU4:LU57)</f>
        <v>-853.03385175535368</v>
      </c>
      <c r="LW60" s="9">
        <f>MIN(LW4:LW57)</f>
        <v>0.96329999999999993</v>
      </c>
    </row>
    <row r="61" spans="1:358" s="7" customFormat="1">
      <c r="B61" s="6" t="s">
        <v>120</v>
      </c>
      <c r="E61" s="8">
        <f>MAX(E4:E57)</f>
        <v>1</v>
      </c>
      <c r="F61" s="8">
        <f>MAX(F53:F57)</f>
        <v>0.4612545048659849</v>
      </c>
      <c r="G61" s="8"/>
      <c r="H61" s="8"/>
      <c r="I61" s="8"/>
      <c r="J61" s="8">
        <f>MAX(J5:J57)</f>
        <v>3.8325377049283587</v>
      </c>
      <c r="K61" s="8"/>
      <c r="L61" s="8">
        <f>MAX(L5:L57)</f>
        <v>0.36502654644615795</v>
      </c>
      <c r="M61" s="8"/>
      <c r="N61" s="8">
        <f>MAX(N5:N57)</f>
        <v>-25.233011600000001</v>
      </c>
      <c r="O61" s="8"/>
      <c r="P61" s="8">
        <f t="shared" ref="P61:U61" si="9">MAX(P4:P57)</f>
        <v>13.380642840739739</v>
      </c>
      <c r="Q61" s="8">
        <f t="shared" ref="Q61:T61" si="10">MAX(Q4:Q57)</f>
        <v>7.3740000000000006</v>
      </c>
      <c r="R61" s="8">
        <f t="shared" si="10"/>
        <v>0.20695440319065456</v>
      </c>
      <c r="S61" s="8">
        <f t="shared" si="10"/>
        <v>1.3294999999999999</v>
      </c>
      <c r="T61" s="8">
        <f t="shared" si="10"/>
        <v>0.17755451275594242</v>
      </c>
      <c r="U61" s="8">
        <f t="shared" si="9"/>
        <v>0.86599572797750557</v>
      </c>
      <c r="W61" s="8">
        <f>MAX(W4:W57)</f>
        <v>-140.99438074740021</v>
      </c>
      <c r="Y61" s="8">
        <f>MAX(Y4:Y57)</f>
        <v>19210</v>
      </c>
      <c r="AA61" s="9">
        <f t="shared" ref="AA61" si="11">MAX(AA4:AA57)</f>
        <v>0.23036179699795628</v>
      </c>
      <c r="AB61" s="9"/>
      <c r="AC61" s="9">
        <f>MAX(AC4:AC57)</f>
        <v>0.23034211408862421</v>
      </c>
      <c r="AE61" s="10">
        <f>MAX(AE4:AE57)</f>
        <v>0.17213627324026579</v>
      </c>
      <c r="AF61" s="10"/>
      <c r="AG61" s="10">
        <f>MAX(AG4:AG57)</f>
        <v>9.9157137368598505E-2</v>
      </c>
      <c r="AH61" s="10"/>
      <c r="AI61" s="10">
        <f>MAX(AI4:AI57)</f>
        <v>5.5065813348441288E-2</v>
      </c>
      <c r="AK61" s="10">
        <f>MAX(AK4:AK57)</f>
        <v>1.8233174245900409E-2</v>
      </c>
      <c r="AL61" s="10"/>
      <c r="AM61" s="10">
        <f>MAX(AM4:AM57)</f>
        <v>1.0614159440648352</v>
      </c>
      <c r="AN61" s="10"/>
      <c r="AO61" s="10">
        <f>MAX(AO4:AO57)</f>
        <v>0.16922926787887424</v>
      </c>
      <c r="AQ61" s="10">
        <f>MAX(AQ4:AQ57)</f>
        <v>2.0854253496378206E-2</v>
      </c>
      <c r="AR61" s="12"/>
      <c r="AS61" s="10">
        <f>MAX(AS4:AS57)</f>
        <v>3.056397480741594E-2</v>
      </c>
      <c r="AU61" s="10">
        <f>MAX(AU4:AU57)</f>
        <v>4.4034248078292954E-2</v>
      </c>
      <c r="AW61" s="10">
        <f>MAX(AW4:AW57)</f>
        <v>3.9991412693743698E-2</v>
      </c>
      <c r="AY61" s="10">
        <f>MAX(AY4:AY57)</f>
        <v>2.296915373195153E-2</v>
      </c>
      <c r="BA61" s="10">
        <f>MAX(BA4:BA57)</f>
        <v>3.1939734228124704E-2</v>
      </c>
      <c r="BC61" s="10">
        <f>MAX(BC4:BC57)</f>
        <v>0.77056147871280656</v>
      </c>
      <c r="BE61" s="10">
        <f>MAX(BE4:BE57)</f>
        <v>0.43596517990843964</v>
      </c>
      <c r="BF61" s="66"/>
      <c r="BG61" s="10">
        <f>MAX(BG4:BG57)</f>
        <v>4.1350227278487484E-6</v>
      </c>
      <c r="BH61" s="12"/>
      <c r="BI61" s="10">
        <f>MAX(BI4:BI57)</f>
        <v>0.36314725027266093</v>
      </c>
      <c r="BK61" s="10">
        <f>MAX(BK4:BK57)</f>
        <v>0.31978327266194423</v>
      </c>
      <c r="BM61" s="10">
        <f>MAX(BM4:BM57)</f>
        <v>0.11660739849993783</v>
      </c>
      <c r="BO61" s="10">
        <f>MAX(BO4:BO57)</f>
        <v>1.9592955790201229E-3</v>
      </c>
      <c r="BQ61" s="10">
        <f>MAX(BQ4:BQ57)</f>
        <v>2.3316675212305585E-2</v>
      </c>
      <c r="BR61" s="10"/>
      <c r="BS61" s="10">
        <f>MAX(BS4:BS57)</f>
        <v>3.4647698650567792E-2</v>
      </c>
      <c r="BU61" s="10">
        <f>MAX(BU4:BU57)</f>
        <v>0.47986040947427011</v>
      </c>
      <c r="BY61" s="9">
        <f>MAX(BY4:BY57)</f>
        <v>1.9980997492660774E-2</v>
      </c>
      <c r="BZ61" s="9">
        <f>MAX(BZ4:BZ57)</f>
        <v>0.42562909405254179</v>
      </c>
      <c r="CA61" s="9">
        <f>MAX(CA4:CA57)</f>
        <v>0.21559493919086162</v>
      </c>
      <c r="CB61" s="9">
        <f>MAX(CB4:CB57)</f>
        <v>5.3015619138834437E-2</v>
      </c>
      <c r="CC61" s="9">
        <f>MAX(CC4:CC57)</f>
        <v>0.14122608840102574</v>
      </c>
      <c r="CD61" s="9"/>
      <c r="CE61" s="9"/>
      <c r="CF61" s="63">
        <f>MAX(CF4:CF57)</f>
        <v>-7.1999298630655018</v>
      </c>
      <c r="CG61" s="9"/>
      <c r="CH61" s="63">
        <f>MAX(CH4:CH57)</f>
        <v>0.13945127481007624</v>
      </c>
      <c r="CI61" s="9"/>
      <c r="CJ61" s="63">
        <f>MAX(CJ4:CJ57)</f>
        <v>-115.2078495812593</v>
      </c>
      <c r="CK61" s="9"/>
      <c r="CL61" s="62">
        <f>MAX(CL4:CL57)</f>
        <v>1.0009999999999999</v>
      </c>
      <c r="CM61" s="62"/>
      <c r="CN61" s="62">
        <f>MAX(CN4:CN57)</f>
        <v>1.0084</v>
      </c>
      <c r="CO61" s="9"/>
      <c r="CP61" s="62">
        <f>MAX(CP4:CP57)</f>
        <v>0.89210000000000012</v>
      </c>
      <c r="CQ61" s="9"/>
      <c r="CR61" s="64">
        <f>MAX(CR4:CR57)</f>
        <v>3330</v>
      </c>
      <c r="CS61" s="9"/>
      <c r="CT61" s="64">
        <f>MAX(CT4:CT57)</f>
        <v>1190</v>
      </c>
      <c r="CU61" s="9"/>
      <c r="CV61" s="64">
        <f>MAX(CV4:CV57)</f>
        <v>6475</v>
      </c>
      <c r="CW61" s="9"/>
      <c r="KS61" s="9">
        <f>MAX(KS4:KS57)</f>
        <v>38.962389300276087</v>
      </c>
      <c r="KU61" s="9">
        <f>MAX(KU4:KU57)</f>
        <v>40.870515194910098</v>
      </c>
      <c r="KW61" s="9">
        <f>MAX(KW4:KW57)</f>
        <v>2.4073204337508169</v>
      </c>
      <c r="KY61" s="9">
        <f>MAX(KY4:KY57)</f>
        <v>1.1307999230185692</v>
      </c>
      <c r="LA61" s="9">
        <f>MAX(LA4:LA57)</f>
        <v>1.8058494764549349</v>
      </c>
      <c r="LC61" s="9">
        <f>MAX(LC4:LC57)</f>
        <v>0.2635827430508238</v>
      </c>
      <c r="LE61" s="9">
        <f>MAX(LE4:LE57)</f>
        <v>40.177735307224225</v>
      </c>
      <c r="LG61" s="9">
        <f>MAX(LG4:LG57)</f>
        <v>37.620903333483668</v>
      </c>
      <c r="LI61" s="9">
        <f>MAX(LI4:LI57)</f>
        <v>9.1330729997245665</v>
      </c>
      <c r="LK61" s="9">
        <f>MAX(LK4:LK57)</f>
        <v>-25.632786809999999</v>
      </c>
      <c r="LM61" s="9">
        <f>MAX(LM4:LM57)</f>
        <v>-24.997530080000001</v>
      </c>
      <c r="LO61" s="9">
        <f>MAX(LO4:LO57)</f>
        <v>-24.981286749999995</v>
      </c>
      <c r="LQ61" s="9">
        <f>MAX(LQ4:LQ57)</f>
        <v>184.02070302644626</v>
      </c>
      <c r="LS61" s="9">
        <f>MAX(LS4:LS57)</f>
        <v>28.207625085874266</v>
      </c>
      <c r="LU61" s="9">
        <f>MAX(LU4:LU57)</f>
        <v>-224.28692222227852</v>
      </c>
      <c r="LW61" s="9">
        <f>MAX(LW4:LW57)</f>
        <v>1.1938000000000002</v>
      </c>
    </row>
    <row r="63" spans="1:358">
      <c r="A63" t="s">
        <v>137</v>
      </c>
    </row>
    <row r="64" spans="1:358">
      <c r="A64" t="s">
        <v>138</v>
      </c>
    </row>
  </sheetData>
  <mergeCells count="15">
    <mergeCell ref="G1:I1"/>
    <mergeCell ref="KP1:MT1"/>
    <mergeCell ref="CF1:CW1"/>
    <mergeCell ref="CD1:CE1"/>
    <mergeCell ref="HZ1:KO1"/>
    <mergeCell ref="U1:Z1"/>
    <mergeCell ref="J1:P1"/>
    <mergeCell ref="CX1:FK1"/>
    <mergeCell ref="Q1:T1"/>
    <mergeCell ref="FL1:HY1"/>
    <mergeCell ref="BY1:CC1"/>
    <mergeCell ref="BI1:BV1"/>
    <mergeCell ref="AA1:AR1"/>
    <mergeCell ref="AS1:BH1"/>
    <mergeCell ref="BW1:B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1" sqref="B11"/>
    </sheetView>
  </sheetViews>
  <sheetFormatPr defaultRowHeight="14.6"/>
  <cols>
    <col min="2" max="2" width="29.15234375" customWidth="1"/>
    <col min="3" max="4" width="12.53515625" customWidth="1"/>
    <col min="5" max="5" width="20" customWidth="1"/>
  </cols>
  <sheetData>
    <row r="1" spans="1:5">
      <c r="A1" s="23"/>
      <c r="B1" s="24"/>
      <c r="C1" s="76" t="s">
        <v>244</v>
      </c>
      <c r="D1" s="76"/>
      <c r="E1" s="25"/>
    </row>
    <row r="2" spans="1:5">
      <c r="A2" s="41" t="s">
        <v>2</v>
      </c>
      <c r="B2" s="35" t="s">
        <v>176</v>
      </c>
      <c r="C2" s="35" t="s">
        <v>177</v>
      </c>
      <c r="D2" s="35" t="s">
        <v>178</v>
      </c>
      <c r="E2" s="37" t="s">
        <v>349</v>
      </c>
    </row>
    <row r="3" spans="1:5">
      <c r="A3" t="s">
        <v>125</v>
      </c>
      <c r="B3" t="s">
        <v>179</v>
      </c>
      <c r="C3">
        <v>38.921996149999998</v>
      </c>
      <c r="D3">
        <v>-106.947895824</v>
      </c>
    </row>
    <row r="4" spans="1:5">
      <c r="A4" t="s">
        <v>126</v>
      </c>
      <c r="B4" t="s">
        <v>180</v>
      </c>
      <c r="C4">
        <v>38.921921955999998</v>
      </c>
      <c r="D4">
        <v>-106.947722912</v>
      </c>
    </row>
    <row r="5" spans="1:5">
      <c r="A5" t="s">
        <v>127</v>
      </c>
      <c r="B5" t="s">
        <v>181</v>
      </c>
      <c r="C5">
        <v>38.921871459999998</v>
      </c>
      <c r="D5">
        <v>-106.94753350800001</v>
      </c>
    </row>
    <row r="6" spans="1:5">
      <c r="A6" t="s">
        <v>128</v>
      </c>
      <c r="B6" t="s">
        <v>182</v>
      </c>
      <c r="C6">
        <v>38.921852362000003</v>
      </c>
      <c r="D6">
        <v>-106.94730593200001</v>
      </c>
    </row>
    <row r="7" spans="1:5">
      <c r="A7" t="s">
        <v>129</v>
      </c>
      <c r="B7" t="s">
        <v>183</v>
      </c>
      <c r="C7" s="42">
        <v>38.922850273999998</v>
      </c>
      <c r="D7" s="42">
        <v>-106.950346877</v>
      </c>
      <c r="E7" s="77" t="s">
        <v>187</v>
      </c>
    </row>
    <row r="8" spans="1:5">
      <c r="A8" t="s">
        <v>130</v>
      </c>
      <c r="B8" t="s">
        <v>183</v>
      </c>
      <c r="C8" s="42">
        <v>38.922850273999998</v>
      </c>
      <c r="D8" s="42">
        <v>-106.950346877</v>
      </c>
      <c r="E8" s="77"/>
    </row>
    <row r="9" spans="1:5">
      <c r="A9" t="s">
        <v>131</v>
      </c>
      <c r="B9" t="s">
        <v>184</v>
      </c>
      <c r="C9" s="42">
        <v>38.922832233999998</v>
      </c>
      <c r="D9" s="42">
        <v>-106.949997525</v>
      </c>
      <c r="E9" s="77"/>
    </row>
    <row r="10" spans="1:5">
      <c r="A10" t="s">
        <v>132</v>
      </c>
      <c r="B10" t="s">
        <v>185</v>
      </c>
      <c r="C10" s="42">
        <v>38.922795381999997</v>
      </c>
      <c r="D10" s="42">
        <v>-106.949644201</v>
      </c>
      <c r="E10" s="77"/>
    </row>
    <row r="11" spans="1:5" ht="29.15">
      <c r="A11" t="s">
        <v>133</v>
      </c>
      <c r="B11" s="43" t="s">
        <v>186</v>
      </c>
      <c r="C11" s="42">
        <v>38.922957421</v>
      </c>
      <c r="D11" s="42">
        <v>-106.946490049</v>
      </c>
    </row>
  </sheetData>
  <mergeCells count="2">
    <mergeCell ref="C1:D1"/>
    <mergeCell ref="E7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workbookViewId="0">
      <selection sqref="A1:XFD1048576"/>
    </sheetView>
  </sheetViews>
  <sheetFormatPr defaultRowHeight="14.6"/>
  <cols>
    <col min="1" max="1" width="23.15234375" customWidth="1"/>
    <col min="2" max="2" width="108.69140625" bestFit="1" customWidth="1"/>
    <col min="4" max="4" width="14.15234375" customWidth="1"/>
    <col min="5" max="5" width="29.15234375" customWidth="1"/>
  </cols>
  <sheetData>
    <row r="1" spans="1:5" ht="18.45">
      <c r="A1" s="1" t="s">
        <v>356</v>
      </c>
    </row>
    <row r="2" spans="1:5" ht="15.9">
      <c r="A2" s="45" t="s">
        <v>221</v>
      </c>
    </row>
    <row r="3" spans="1:5">
      <c r="A3" t="s">
        <v>200</v>
      </c>
    </row>
    <row r="4" spans="1:5">
      <c r="A4" t="s">
        <v>202</v>
      </c>
    </row>
    <row r="5" spans="1:5">
      <c r="A5" t="s">
        <v>214</v>
      </c>
    </row>
    <row r="6" spans="1:5">
      <c r="A6" t="s">
        <v>357</v>
      </c>
    </row>
    <row r="8" spans="1:5" s="33" customFormat="1" ht="15.9">
      <c r="A8" s="45" t="s">
        <v>192</v>
      </c>
      <c r="D8" s="45" t="s">
        <v>193</v>
      </c>
    </row>
    <row r="9" spans="1:5" s="33" customFormat="1">
      <c r="A9" s="44" t="s">
        <v>188</v>
      </c>
      <c r="B9" s="44" t="s">
        <v>189</v>
      </c>
      <c r="D9" s="44" t="s">
        <v>194</v>
      </c>
      <c r="E9" s="44" t="s">
        <v>195</v>
      </c>
    </row>
    <row r="10" spans="1:5">
      <c r="A10" s="3" t="s">
        <v>4</v>
      </c>
      <c r="B10" t="s">
        <v>191</v>
      </c>
      <c r="D10" t="s">
        <v>108</v>
      </c>
      <c r="E10" t="s">
        <v>196</v>
      </c>
    </row>
    <row r="11" spans="1:5">
      <c r="A11" s="3" t="s">
        <v>190</v>
      </c>
      <c r="B11" t="s">
        <v>235</v>
      </c>
      <c r="D11" t="s">
        <v>171</v>
      </c>
      <c r="E11" t="s">
        <v>197</v>
      </c>
    </row>
    <row r="12" spans="1:5">
      <c r="A12" s="3" t="s">
        <v>170</v>
      </c>
      <c r="B12" t="s">
        <v>234</v>
      </c>
      <c r="D12" t="s">
        <v>198</v>
      </c>
      <c r="E12" t="s">
        <v>199</v>
      </c>
    </row>
    <row r="13" spans="1:5">
      <c r="A13" s="3" t="s">
        <v>172</v>
      </c>
      <c r="B13" t="s">
        <v>233</v>
      </c>
      <c r="D13" t="s">
        <v>96</v>
      </c>
      <c r="E13" t="s">
        <v>201</v>
      </c>
    </row>
    <row r="14" spans="1:5" ht="15" customHeight="1">
      <c r="A14" s="3" t="s">
        <v>206</v>
      </c>
      <c r="B14" t="s">
        <v>205</v>
      </c>
      <c r="D14" t="s">
        <v>203</v>
      </c>
      <c r="E14" t="s">
        <v>204</v>
      </c>
    </row>
    <row r="15" spans="1:5">
      <c r="A15" s="3" t="s">
        <v>210</v>
      </c>
      <c r="B15" t="s">
        <v>213</v>
      </c>
      <c r="D15" t="s">
        <v>207</v>
      </c>
      <c r="E15" t="s">
        <v>212</v>
      </c>
    </row>
    <row r="16" spans="1:5">
      <c r="A16" s="3" t="s">
        <v>209</v>
      </c>
      <c r="B16" t="s">
        <v>219</v>
      </c>
      <c r="D16" t="s">
        <v>223</v>
      </c>
      <c r="E16" t="s">
        <v>224</v>
      </c>
    </row>
    <row r="17" spans="1:5">
      <c r="A17" s="3" t="s">
        <v>208</v>
      </c>
      <c r="B17" t="s">
        <v>218</v>
      </c>
      <c r="D17" t="s">
        <v>225</v>
      </c>
      <c r="E17" t="s">
        <v>226</v>
      </c>
    </row>
    <row r="18" spans="1:5">
      <c r="A18" s="3" t="s">
        <v>211</v>
      </c>
      <c r="B18" t="s">
        <v>217</v>
      </c>
      <c r="D18" t="s">
        <v>236</v>
      </c>
      <c r="E18" t="s">
        <v>237</v>
      </c>
    </row>
    <row r="19" spans="1:5">
      <c r="A19" s="3" t="s">
        <v>222</v>
      </c>
      <c r="B19" t="s">
        <v>230</v>
      </c>
      <c r="D19" t="s">
        <v>240</v>
      </c>
      <c r="E19" t="s">
        <v>238</v>
      </c>
    </row>
    <row r="20" spans="1:5">
      <c r="A20" s="3" t="s">
        <v>231</v>
      </c>
      <c r="B20" t="s">
        <v>232</v>
      </c>
      <c r="D20" t="s">
        <v>241</v>
      </c>
      <c r="E20" t="s">
        <v>239</v>
      </c>
    </row>
    <row r="21" spans="1:5" ht="17.149999999999999">
      <c r="A21" s="3" t="s">
        <v>227</v>
      </c>
      <c r="B21" t="s">
        <v>228</v>
      </c>
      <c r="D21" s="48" t="s">
        <v>249</v>
      </c>
      <c r="E21" s="49" t="s">
        <v>252</v>
      </c>
    </row>
    <row r="22" spans="1:5" ht="17.149999999999999">
      <c r="A22" s="3" t="s">
        <v>353</v>
      </c>
      <c r="B22" t="s">
        <v>354</v>
      </c>
      <c r="D22" s="48" t="s">
        <v>250</v>
      </c>
      <c r="E22" s="49" t="s">
        <v>253</v>
      </c>
    </row>
    <row r="23" spans="1:5" ht="17.149999999999999">
      <c r="D23" s="48" t="s">
        <v>251</v>
      </c>
      <c r="E23" s="49" t="s">
        <v>254</v>
      </c>
    </row>
    <row r="24" spans="1:5" ht="17.149999999999999">
      <c r="D24" s="48" t="s">
        <v>258</v>
      </c>
      <c r="E24" s="49" t="s">
        <v>267</v>
      </c>
    </row>
    <row r="25" spans="1:5" ht="17.149999999999999">
      <c r="D25" s="48" t="s">
        <v>259</v>
      </c>
      <c r="E25" s="49" t="s">
        <v>268</v>
      </c>
    </row>
    <row r="26" spans="1:5" ht="17.149999999999999">
      <c r="A26" s="45" t="s">
        <v>215</v>
      </c>
      <c r="D26" s="48" t="s">
        <v>260</v>
      </c>
      <c r="E26" s="49" t="s">
        <v>269</v>
      </c>
    </row>
    <row r="27" spans="1:5" ht="17.149999999999999">
      <c r="A27" t="s">
        <v>216</v>
      </c>
      <c r="D27" s="48" t="s">
        <v>264</v>
      </c>
      <c r="E27" s="49" t="s">
        <v>270</v>
      </c>
    </row>
    <row r="28" spans="1:5" ht="17.149999999999999">
      <c r="A28" t="s">
        <v>220</v>
      </c>
      <c r="D28" s="48" t="s">
        <v>265</v>
      </c>
      <c r="E28" s="49" t="s">
        <v>271</v>
      </c>
    </row>
    <row r="29" spans="1:5" ht="17.149999999999999">
      <c r="A29" t="s">
        <v>229</v>
      </c>
      <c r="D29" s="48" t="s">
        <v>266</v>
      </c>
      <c r="E29" s="49" t="s">
        <v>272</v>
      </c>
    </row>
    <row r="30" spans="1:5" ht="17.149999999999999">
      <c r="A30" t="s">
        <v>355</v>
      </c>
      <c r="D30" s="48" t="s">
        <v>276</v>
      </c>
      <c r="E30" s="49" t="s">
        <v>279</v>
      </c>
    </row>
    <row r="31" spans="1:5" ht="17.149999999999999">
      <c r="D31" s="48" t="s">
        <v>277</v>
      </c>
      <c r="E31" s="49" t="s">
        <v>280</v>
      </c>
    </row>
    <row r="32" spans="1:5" ht="17.149999999999999">
      <c r="D32" s="48" t="s">
        <v>278</v>
      </c>
      <c r="E32" s="49" t="s">
        <v>281</v>
      </c>
    </row>
    <row r="33" spans="4:5">
      <c r="D33" s="49" t="s">
        <v>114</v>
      </c>
      <c r="E33" s="49" t="s">
        <v>283</v>
      </c>
    </row>
    <row r="34" spans="4:5" ht="17.600000000000001">
      <c r="D34" s="48" t="s">
        <v>288</v>
      </c>
      <c r="E34" s="49" t="s">
        <v>289</v>
      </c>
    </row>
    <row r="35" spans="4:5" ht="17.600000000000001">
      <c r="D35" s="48" t="s">
        <v>293</v>
      </c>
      <c r="E35" s="49" t="s">
        <v>290</v>
      </c>
    </row>
    <row r="36" spans="4:5" ht="17.600000000000001">
      <c r="D36" s="48" t="s">
        <v>292</v>
      </c>
      <c r="E36" s="49" t="s">
        <v>291</v>
      </c>
    </row>
    <row r="37" spans="4:5">
      <c r="D37" s="49" t="s">
        <v>305</v>
      </c>
      <c r="E37" s="49" t="s">
        <v>306</v>
      </c>
    </row>
    <row r="38" spans="4:5" ht="17.149999999999999">
      <c r="D38" s="48" t="s">
        <v>314</v>
      </c>
      <c r="E38" s="49" t="s">
        <v>320</v>
      </c>
    </row>
    <row r="39" spans="4:5" ht="17.149999999999999">
      <c r="D39" s="48" t="s">
        <v>315</v>
      </c>
      <c r="E39" s="49" t="s">
        <v>321</v>
      </c>
    </row>
    <row r="40" spans="4:5" ht="17.149999999999999">
      <c r="D40" s="48" t="s">
        <v>316</v>
      </c>
      <c r="E40" s="49" t="s">
        <v>322</v>
      </c>
    </row>
    <row r="41" spans="4:5" ht="17.149999999999999">
      <c r="D41" s="48" t="s">
        <v>317</v>
      </c>
      <c r="E41" s="49" t="s">
        <v>323</v>
      </c>
    </row>
    <row r="42" spans="4:5" ht="17.149999999999999">
      <c r="D42" s="48" t="s">
        <v>318</v>
      </c>
      <c r="E42" s="49" t="s">
        <v>324</v>
      </c>
    </row>
    <row r="43" spans="4:5" ht="17.149999999999999">
      <c r="D43" s="48" t="s">
        <v>319</v>
      </c>
      <c r="E43" s="49" t="s">
        <v>325</v>
      </c>
    </row>
    <row r="44" spans="4:5" ht="17.149999999999999">
      <c r="D44" s="49" t="s">
        <v>347</v>
      </c>
      <c r="E44" s="49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summary</vt:lpstr>
      <vt:lpstr>meta data</vt:lpstr>
      <vt:lpstr>methods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m. fox</dc:creator>
  <cp:lastModifiedBy>patricia m. fox</cp:lastModifiedBy>
  <dcterms:created xsi:type="dcterms:W3CDTF">2017-01-30T23:44:23Z</dcterms:created>
  <dcterms:modified xsi:type="dcterms:W3CDTF">2020-03-17T18:46:58Z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